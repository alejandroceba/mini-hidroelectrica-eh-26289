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b\mini-hidroelectrica-eh-26289\data\"/>
    </mc:Choice>
  </mc:AlternateContent>
  <xr:revisionPtr revIDLastSave="0" documentId="13_ncr:1_{DBC1EF9B-3C4B-45A1-8081-04E3E7275B4B}" xr6:coauthVersionLast="36" xr6:coauthVersionMax="36" xr10:uidLastSave="{00000000-0000-0000-0000-000000000000}"/>
  <bookViews>
    <workbookView xWindow="0" yWindow="0" windowWidth="20490" windowHeight="9525" xr2:uid="{00000000-000D-0000-FFFF-FFFF00000000}"/>
  </bookViews>
  <sheets>
    <sheet name="puntoscauce1000_z" sheetId="1" r:id="rId1"/>
  </sheets>
  <calcPr calcId="191029"/>
</workbook>
</file>

<file path=xl/calcChain.xml><?xml version="1.0" encoding="utf-8"?>
<calcChain xmlns="http://schemas.openxmlformats.org/spreadsheetml/2006/main"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3" i="1"/>
  <c r="W90" i="1"/>
  <c r="W89" i="1"/>
  <c r="X89" i="1" s="1"/>
  <c r="AA89" i="1" s="1"/>
  <c r="W84" i="1"/>
  <c r="W82" i="1"/>
  <c r="X83" i="1" s="1"/>
  <c r="AA83" i="1" s="1"/>
  <c r="W81" i="1"/>
  <c r="W77" i="1"/>
  <c r="X77" i="1" s="1"/>
  <c r="AA77" i="1" s="1"/>
  <c r="W75" i="1"/>
  <c r="X75" i="1" s="1"/>
  <c r="AA75" i="1" s="1"/>
  <c r="W73" i="1"/>
  <c r="X73" i="1"/>
  <c r="AA73" i="1" s="1"/>
  <c r="W70" i="1"/>
  <c r="X70" i="1" s="1"/>
  <c r="AA70" i="1" s="1"/>
  <c r="W64" i="1"/>
  <c r="X65" i="1" s="1"/>
  <c r="AA65" i="1" s="1"/>
  <c r="W66" i="1"/>
  <c r="W58" i="1"/>
  <c r="X58" i="1" s="1"/>
  <c r="AA58" i="1" s="1"/>
  <c r="W44" i="1"/>
  <c r="W34" i="1"/>
  <c r="W31" i="1"/>
  <c r="W28" i="1"/>
  <c r="W27" i="1"/>
  <c r="X27" i="1"/>
  <c r="AA27" i="1" s="1"/>
  <c r="W24" i="1"/>
  <c r="X24" i="1" s="1"/>
  <c r="AA24" i="1" s="1"/>
  <c r="W18" i="1"/>
  <c r="X18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5" i="1"/>
  <c r="AA26" i="1"/>
  <c r="AA30" i="1"/>
  <c r="AA33" i="1"/>
  <c r="AA36" i="1"/>
  <c r="AA37" i="1"/>
  <c r="AA38" i="1"/>
  <c r="AA39" i="1"/>
  <c r="AA40" i="1"/>
  <c r="AA41" i="1"/>
  <c r="AA42" i="1"/>
  <c r="AA43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60" i="1"/>
  <c r="AA61" i="1"/>
  <c r="AA62" i="1"/>
  <c r="AA63" i="1"/>
  <c r="AA67" i="1"/>
  <c r="AA68" i="1"/>
  <c r="AA69" i="1"/>
  <c r="AA72" i="1"/>
  <c r="AA79" i="1"/>
  <c r="AA80" i="1"/>
  <c r="AA85" i="1"/>
  <c r="AA86" i="1"/>
  <c r="AA87" i="1"/>
  <c r="AA88" i="1"/>
  <c r="AA92" i="1"/>
  <c r="AA93" i="1"/>
  <c r="AA94" i="1"/>
  <c r="AA95" i="1"/>
  <c r="AA96" i="1"/>
  <c r="AA97" i="1"/>
  <c r="AA98" i="1"/>
  <c r="AA99" i="1"/>
  <c r="AA100" i="1"/>
  <c r="AA101" i="1"/>
  <c r="AA102" i="1"/>
  <c r="X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9" i="1"/>
  <c r="X20" i="1"/>
  <c r="X21" i="1"/>
  <c r="X22" i="1"/>
  <c r="X23" i="1"/>
  <c r="X25" i="1"/>
  <c r="X26" i="1"/>
  <c r="X29" i="1"/>
  <c r="AA29" i="1" s="1"/>
  <c r="X30" i="1"/>
  <c r="X31" i="1"/>
  <c r="AA31" i="1" s="1"/>
  <c r="X32" i="1"/>
  <c r="AA32" i="1" s="1"/>
  <c r="X33" i="1"/>
  <c r="X34" i="1"/>
  <c r="AA34" i="1" s="1"/>
  <c r="X35" i="1"/>
  <c r="AA35" i="1" s="1"/>
  <c r="X36" i="1"/>
  <c r="X37" i="1"/>
  <c r="X38" i="1"/>
  <c r="X39" i="1"/>
  <c r="X40" i="1"/>
  <c r="X41" i="1"/>
  <c r="X42" i="1"/>
  <c r="X43" i="1"/>
  <c r="X44" i="1"/>
  <c r="AA44" i="1" s="1"/>
  <c r="X45" i="1"/>
  <c r="AA45" i="1" s="1"/>
  <c r="X46" i="1"/>
  <c r="X47" i="1"/>
  <c r="X48" i="1"/>
  <c r="X49" i="1"/>
  <c r="X50" i="1"/>
  <c r="X51" i="1"/>
  <c r="X52" i="1"/>
  <c r="X53" i="1"/>
  <c r="X54" i="1"/>
  <c r="X55" i="1"/>
  <c r="X56" i="1"/>
  <c r="X57" i="1"/>
  <c r="X60" i="1"/>
  <c r="X61" i="1"/>
  <c r="X62" i="1"/>
  <c r="X63" i="1"/>
  <c r="X64" i="1"/>
  <c r="AA64" i="1" s="1"/>
  <c r="X66" i="1"/>
  <c r="AA66" i="1" s="1"/>
  <c r="X67" i="1"/>
  <c r="X68" i="1"/>
  <c r="X69" i="1"/>
  <c r="X72" i="1"/>
  <c r="X79" i="1"/>
  <c r="X80" i="1"/>
  <c r="X84" i="1"/>
  <c r="AA84" i="1" s="1"/>
  <c r="X85" i="1"/>
  <c r="X86" i="1"/>
  <c r="X87" i="1"/>
  <c r="X88" i="1"/>
  <c r="X91" i="1"/>
  <c r="AA91" i="1" s="1"/>
  <c r="X92" i="1"/>
  <c r="X93" i="1"/>
  <c r="X94" i="1"/>
  <c r="X95" i="1"/>
  <c r="X96" i="1"/>
  <c r="X97" i="1"/>
  <c r="X98" i="1"/>
  <c r="X99" i="1"/>
  <c r="X100" i="1"/>
  <c r="X101" i="1"/>
  <c r="X102" i="1"/>
  <c r="X90" i="1" l="1"/>
  <c r="AA90" i="1" s="1"/>
  <c r="X82" i="1"/>
  <c r="AA82" i="1" s="1"/>
  <c r="X81" i="1"/>
  <c r="AA81" i="1" s="1"/>
  <c r="X78" i="1"/>
  <c r="AA78" i="1" s="1"/>
  <c r="X76" i="1"/>
  <c r="AA76" i="1" s="1"/>
  <c r="X74" i="1"/>
  <c r="AA74" i="1" s="1"/>
  <c r="X71" i="1"/>
  <c r="AA71" i="1" s="1"/>
  <c r="X59" i="1"/>
  <c r="AA59" i="1" s="1"/>
  <c r="X28" i="1"/>
  <c r="AA28" i="1" s="1"/>
</calcChain>
</file>

<file path=xl/sharedStrings.xml><?xml version="1.0" encoding="utf-8"?>
<sst xmlns="http://schemas.openxmlformats.org/spreadsheetml/2006/main" count="533" uniqueCount="33">
  <si>
    <t>ID</t>
  </si>
  <si>
    <t>CVE_SUBC</t>
  </si>
  <si>
    <t>CLAVE50K</t>
  </si>
  <si>
    <t>TIPO</t>
  </si>
  <si>
    <t>ENTIDAD</t>
  </si>
  <si>
    <t>FC</t>
  </si>
  <si>
    <t>CONDICION</t>
  </si>
  <si>
    <t>EDICION</t>
  </si>
  <si>
    <t>FECHA</t>
  </si>
  <si>
    <t>LENGTHM</t>
  </si>
  <si>
    <t>ID_DRENA</t>
  </si>
  <si>
    <t>FLOWDIR</t>
  </si>
  <si>
    <t>ENABLED</t>
  </si>
  <si>
    <t>DESC_ENABL</t>
  </si>
  <si>
    <t>CALI_REPR</t>
  </si>
  <si>
    <t>SEQUENCEID</t>
  </si>
  <si>
    <t>ORDER_1</t>
  </si>
  <si>
    <t>LEVEL_1</t>
  </si>
  <si>
    <t>ARBSUM_1</t>
  </si>
  <si>
    <t>PATHL_1</t>
  </si>
  <si>
    <t>distance</t>
  </si>
  <si>
    <t>angle</t>
  </si>
  <si>
    <t>Elev1</t>
  </si>
  <si>
    <t>RH26Dw</t>
  </si>
  <si>
    <t>f14d43</t>
  </si>
  <si>
    <t>LINEA CENTRAL</t>
  </si>
  <si>
    <t>FLUJO VIRTUAL</t>
  </si>
  <si>
    <t>N</t>
  </si>
  <si>
    <t>% cauce (longitud)</t>
  </si>
  <si>
    <t>Q 85% * %</t>
  </si>
  <si>
    <t>P_kW</t>
  </si>
  <si>
    <t>H</t>
  </si>
  <si>
    <t>P_MW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</si>
</sst>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2"/>
  <sheetViews>
    <sheetView tabSelected="1" topLeftCell="R1" zoomScale="73" workbookViewId="0">
      <selection activeCell="W2" sqref="W2"/>
    </sheetView>
  </sheetViews>
  <sheetFormatPr baseColWidth="10" defaultRowHeight="15" x14ac:dyDescent="0.2"/>
  <cols>
    <col min="1" max="1024" width="15"/>
  </cols>
  <sheetData>
    <row r="1" spans="1:28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31</v>
      </c>
      <c r="Y1" t="s">
        <v>28</v>
      </c>
      <c r="Z1" t="s">
        <v>29</v>
      </c>
      <c r="AA1" t="s">
        <v>30</v>
      </c>
      <c r="AB1" t="s">
        <v>32</v>
      </c>
    </row>
    <row r="2" spans="1:28" ht="12.75" x14ac:dyDescent="0.2">
      <c r="A2">
        <v>7425106</v>
      </c>
      <c r="B2" t="s">
        <v>23</v>
      </c>
      <c r="C2" t="s">
        <v>24</v>
      </c>
      <c r="D2">
        <v>103</v>
      </c>
      <c r="E2" t="s">
        <v>25</v>
      </c>
      <c r="F2">
        <v>3273</v>
      </c>
      <c r="G2" t="s">
        <v>26</v>
      </c>
      <c r="H2" t="s">
        <v>27</v>
      </c>
      <c r="I2" s="1">
        <v>39303</v>
      </c>
      <c r="J2">
        <v>1053.3475000000001</v>
      </c>
      <c r="K2">
        <v>1</v>
      </c>
      <c r="L2">
        <v>1</v>
      </c>
      <c r="M2">
        <v>1</v>
      </c>
      <c r="O2">
        <v>3</v>
      </c>
      <c r="P2">
        <v>554</v>
      </c>
      <c r="Q2">
        <v>6</v>
      </c>
      <c r="R2">
        <v>1</v>
      </c>
      <c r="S2">
        <v>2989290.3462</v>
      </c>
      <c r="T2">
        <v>60805.405100000004</v>
      </c>
      <c r="U2">
        <v>0</v>
      </c>
      <c r="V2">
        <v>22.380134940883231</v>
      </c>
      <c r="W2">
        <v>947</v>
      </c>
    </row>
    <row r="3" spans="1:28" ht="12.75" x14ac:dyDescent="0.2">
      <c r="A3">
        <v>7425106</v>
      </c>
      <c r="B3" t="s">
        <v>23</v>
      </c>
      <c r="C3" t="s">
        <v>24</v>
      </c>
      <c r="D3">
        <v>103</v>
      </c>
      <c r="E3" t="s">
        <v>25</v>
      </c>
      <c r="F3">
        <v>3273</v>
      </c>
      <c r="G3" t="s">
        <v>26</v>
      </c>
      <c r="H3" t="s">
        <v>27</v>
      </c>
      <c r="I3" s="1">
        <v>39303</v>
      </c>
      <c r="J3">
        <v>1053.3475000000001</v>
      </c>
      <c r="K3">
        <v>1</v>
      </c>
      <c r="L3">
        <v>1</v>
      </c>
      <c r="M3">
        <v>1</v>
      </c>
      <c r="O3">
        <v>3</v>
      </c>
      <c r="P3">
        <v>554</v>
      </c>
      <c r="Q3">
        <v>6</v>
      </c>
      <c r="R3">
        <v>1</v>
      </c>
      <c r="S3">
        <v>2989290.3462</v>
      </c>
      <c r="T3">
        <v>60805.405100000004</v>
      </c>
      <c r="U3">
        <v>1000</v>
      </c>
      <c r="V3">
        <v>28.300752484497561</v>
      </c>
      <c r="W3">
        <v>879</v>
      </c>
      <c r="X3">
        <f>W2-W3</f>
        <v>68</v>
      </c>
      <c r="Y3" s="2">
        <f>U3/$U$102</f>
        <v>0.01</v>
      </c>
      <c r="Z3">
        <f>21.36 *Y3</f>
        <v>0.21360000000000001</v>
      </c>
      <c r="AA3">
        <f>1000*Z3*X3*0.85*9.81/1000</f>
        <v>121.11504480000001</v>
      </c>
      <c r="AB3">
        <f>AA3/1000</f>
        <v>0.1211150448</v>
      </c>
    </row>
    <row r="4" spans="1:28" ht="12.75" x14ac:dyDescent="0.2">
      <c r="A4">
        <v>7425106</v>
      </c>
      <c r="B4" t="s">
        <v>23</v>
      </c>
      <c r="C4" t="s">
        <v>24</v>
      </c>
      <c r="D4">
        <v>103</v>
      </c>
      <c r="E4" t="s">
        <v>25</v>
      </c>
      <c r="F4">
        <v>3273</v>
      </c>
      <c r="G4" t="s">
        <v>26</v>
      </c>
      <c r="H4" t="s">
        <v>27</v>
      </c>
      <c r="I4" s="1">
        <v>39303</v>
      </c>
      <c r="J4">
        <v>1053.3475000000001</v>
      </c>
      <c r="K4">
        <v>1</v>
      </c>
      <c r="L4">
        <v>1</v>
      </c>
      <c r="M4">
        <v>1</v>
      </c>
      <c r="O4">
        <v>3</v>
      </c>
      <c r="P4">
        <v>554</v>
      </c>
      <c r="Q4">
        <v>6</v>
      </c>
      <c r="R4">
        <v>1</v>
      </c>
      <c r="S4">
        <v>2989290.3462</v>
      </c>
      <c r="T4">
        <v>60805.405100000004</v>
      </c>
      <c r="U4">
        <v>2000</v>
      </c>
      <c r="V4">
        <v>351.86990328670879</v>
      </c>
      <c r="W4">
        <v>842</v>
      </c>
      <c r="X4">
        <f t="shared" ref="X4:X67" si="0">W3-W4</f>
        <v>37</v>
      </c>
      <c r="Y4" s="2">
        <f t="shared" ref="Y4:Y67" si="1">U4/$U$102</f>
        <v>0.02</v>
      </c>
      <c r="Z4">
        <f t="shared" ref="Z4:Z67" si="2">21.36 *Y4</f>
        <v>0.42720000000000002</v>
      </c>
      <c r="AA4">
        <f t="shared" ref="AA4:AA67" si="3">1000*Z4*X4*0.85*9.81/1000</f>
        <v>131.80166640000002</v>
      </c>
      <c r="AB4">
        <f t="shared" ref="AB4:AB67" si="4">AA4/1000</f>
        <v>0.13180166640000002</v>
      </c>
    </row>
    <row r="5" spans="1:28" ht="12.75" x14ac:dyDescent="0.2">
      <c r="A5">
        <v>7425106</v>
      </c>
      <c r="B5" t="s">
        <v>23</v>
      </c>
      <c r="C5" t="s">
        <v>24</v>
      </c>
      <c r="D5">
        <v>103</v>
      </c>
      <c r="E5" t="s">
        <v>25</v>
      </c>
      <c r="F5">
        <v>3273</v>
      </c>
      <c r="G5" t="s">
        <v>26</v>
      </c>
      <c r="H5" t="s">
        <v>27</v>
      </c>
      <c r="I5" s="1">
        <v>39303</v>
      </c>
      <c r="J5">
        <v>1053.3475000000001</v>
      </c>
      <c r="K5">
        <v>1</v>
      </c>
      <c r="L5">
        <v>1</v>
      </c>
      <c r="M5">
        <v>1</v>
      </c>
      <c r="O5">
        <v>3</v>
      </c>
      <c r="P5">
        <v>554</v>
      </c>
      <c r="Q5">
        <v>6</v>
      </c>
      <c r="R5">
        <v>1</v>
      </c>
      <c r="S5">
        <v>2989290.3462</v>
      </c>
      <c r="T5">
        <v>60805.405100000004</v>
      </c>
      <c r="U5">
        <v>3000</v>
      </c>
      <c r="V5">
        <v>121.10282152003801</v>
      </c>
      <c r="W5">
        <v>814</v>
      </c>
      <c r="X5">
        <f t="shared" si="0"/>
        <v>28</v>
      </c>
      <c r="Y5" s="2">
        <f t="shared" si="1"/>
        <v>0.03</v>
      </c>
      <c r="Z5">
        <f t="shared" si="2"/>
        <v>0.64079999999999993</v>
      </c>
      <c r="AA5">
        <f t="shared" si="3"/>
        <v>149.61270239999999</v>
      </c>
      <c r="AB5">
        <f t="shared" si="4"/>
        <v>0.14961270239999999</v>
      </c>
    </row>
    <row r="6" spans="1:28" ht="12.75" x14ac:dyDescent="0.2">
      <c r="A6">
        <v>7425106</v>
      </c>
      <c r="B6" t="s">
        <v>23</v>
      </c>
      <c r="C6" t="s">
        <v>24</v>
      </c>
      <c r="D6">
        <v>103</v>
      </c>
      <c r="E6" t="s">
        <v>25</v>
      </c>
      <c r="F6">
        <v>3273</v>
      </c>
      <c r="G6" t="s">
        <v>26</v>
      </c>
      <c r="H6" t="s">
        <v>27</v>
      </c>
      <c r="I6" s="1">
        <v>39303</v>
      </c>
      <c r="J6">
        <v>1053.3475000000001</v>
      </c>
      <c r="K6">
        <v>1</v>
      </c>
      <c r="L6">
        <v>1</v>
      </c>
      <c r="M6">
        <v>1</v>
      </c>
      <c r="O6">
        <v>3</v>
      </c>
      <c r="P6">
        <v>554</v>
      </c>
      <c r="Q6">
        <v>6</v>
      </c>
      <c r="R6">
        <v>1</v>
      </c>
      <c r="S6">
        <v>2989290.3462</v>
      </c>
      <c r="T6">
        <v>60805.405100000004</v>
      </c>
      <c r="U6">
        <v>4000</v>
      </c>
      <c r="V6">
        <v>72.030861119312476</v>
      </c>
      <c r="W6">
        <v>793</v>
      </c>
      <c r="X6">
        <f t="shared" si="0"/>
        <v>21</v>
      </c>
      <c r="Y6" s="2">
        <f t="shared" si="1"/>
        <v>0.04</v>
      </c>
      <c r="Z6">
        <f t="shared" si="2"/>
        <v>0.85440000000000005</v>
      </c>
      <c r="AA6">
        <f t="shared" si="3"/>
        <v>149.61270240000002</v>
      </c>
      <c r="AB6">
        <f t="shared" si="4"/>
        <v>0.14961270240000002</v>
      </c>
    </row>
    <row r="7" spans="1:28" ht="12.75" x14ac:dyDescent="0.2">
      <c r="A7">
        <v>7425106</v>
      </c>
      <c r="B7" t="s">
        <v>23</v>
      </c>
      <c r="C7" t="s">
        <v>24</v>
      </c>
      <c r="D7">
        <v>103</v>
      </c>
      <c r="E7" t="s">
        <v>25</v>
      </c>
      <c r="F7">
        <v>3273</v>
      </c>
      <c r="G7" t="s">
        <v>26</v>
      </c>
      <c r="H7" t="s">
        <v>27</v>
      </c>
      <c r="I7" s="1">
        <v>39303</v>
      </c>
      <c r="J7">
        <v>1053.3475000000001</v>
      </c>
      <c r="K7">
        <v>1</v>
      </c>
      <c r="L7">
        <v>1</v>
      </c>
      <c r="M7">
        <v>1</v>
      </c>
      <c r="O7">
        <v>3</v>
      </c>
      <c r="P7">
        <v>554</v>
      </c>
      <c r="Q7">
        <v>6</v>
      </c>
      <c r="R7">
        <v>1</v>
      </c>
      <c r="S7">
        <v>2989290.3462</v>
      </c>
      <c r="T7">
        <v>60805.405100000004</v>
      </c>
      <c r="U7">
        <v>5000</v>
      </c>
      <c r="V7">
        <v>83.85338336978576</v>
      </c>
      <c r="W7">
        <v>760</v>
      </c>
      <c r="X7">
        <f t="shared" si="0"/>
        <v>33</v>
      </c>
      <c r="Y7" s="2">
        <f t="shared" si="1"/>
        <v>0.05</v>
      </c>
      <c r="Z7">
        <f t="shared" si="2"/>
        <v>1.0680000000000001</v>
      </c>
      <c r="AA7">
        <f t="shared" si="3"/>
        <v>293.882094</v>
      </c>
      <c r="AB7">
        <f t="shared" si="4"/>
        <v>0.29388209399999998</v>
      </c>
    </row>
    <row r="8" spans="1:28" ht="12.75" x14ac:dyDescent="0.2">
      <c r="A8">
        <v>7425106</v>
      </c>
      <c r="B8" t="s">
        <v>23</v>
      </c>
      <c r="C8" t="s">
        <v>24</v>
      </c>
      <c r="D8">
        <v>103</v>
      </c>
      <c r="E8" t="s">
        <v>25</v>
      </c>
      <c r="F8">
        <v>3273</v>
      </c>
      <c r="G8" t="s">
        <v>26</v>
      </c>
      <c r="H8" t="s">
        <v>27</v>
      </c>
      <c r="I8" s="1">
        <v>39303</v>
      </c>
      <c r="J8">
        <v>1053.3475000000001</v>
      </c>
      <c r="K8">
        <v>1</v>
      </c>
      <c r="L8">
        <v>1</v>
      </c>
      <c r="M8">
        <v>1</v>
      </c>
      <c r="O8">
        <v>3</v>
      </c>
      <c r="P8">
        <v>554</v>
      </c>
      <c r="Q8">
        <v>6</v>
      </c>
      <c r="R8">
        <v>1</v>
      </c>
      <c r="S8">
        <v>2989290.3462</v>
      </c>
      <c r="T8">
        <v>60805.405100000004</v>
      </c>
      <c r="U8">
        <v>6000</v>
      </c>
      <c r="V8">
        <v>63.434946879549173</v>
      </c>
      <c r="W8">
        <v>736</v>
      </c>
      <c r="X8">
        <f t="shared" si="0"/>
        <v>24</v>
      </c>
      <c r="Y8" s="2">
        <f t="shared" si="1"/>
        <v>0.06</v>
      </c>
      <c r="Z8">
        <f t="shared" si="2"/>
        <v>1.2815999999999999</v>
      </c>
      <c r="AA8">
        <f t="shared" si="3"/>
        <v>256.47891839999994</v>
      </c>
      <c r="AB8">
        <f t="shared" si="4"/>
        <v>0.25647891839999992</v>
      </c>
    </row>
    <row r="9" spans="1:28" ht="12.75" x14ac:dyDescent="0.2">
      <c r="A9">
        <v>7425106</v>
      </c>
      <c r="B9" t="s">
        <v>23</v>
      </c>
      <c r="C9" t="s">
        <v>24</v>
      </c>
      <c r="D9">
        <v>103</v>
      </c>
      <c r="E9" t="s">
        <v>25</v>
      </c>
      <c r="F9">
        <v>3273</v>
      </c>
      <c r="G9" t="s">
        <v>26</v>
      </c>
      <c r="H9" t="s">
        <v>27</v>
      </c>
      <c r="I9" s="1">
        <v>39303</v>
      </c>
      <c r="J9">
        <v>1053.3475000000001</v>
      </c>
      <c r="K9">
        <v>1</v>
      </c>
      <c r="L9">
        <v>1</v>
      </c>
      <c r="M9">
        <v>1</v>
      </c>
      <c r="O9">
        <v>3</v>
      </c>
      <c r="P9">
        <v>554</v>
      </c>
      <c r="Q9">
        <v>6</v>
      </c>
      <c r="R9">
        <v>1</v>
      </c>
      <c r="S9">
        <v>2989290.3462</v>
      </c>
      <c r="T9">
        <v>60805.405100000004</v>
      </c>
      <c r="U9">
        <v>7000</v>
      </c>
      <c r="V9">
        <v>11.3099393604358</v>
      </c>
      <c r="W9">
        <v>727</v>
      </c>
      <c r="X9">
        <f t="shared" si="0"/>
        <v>9</v>
      </c>
      <c r="Y9" s="2">
        <f t="shared" si="1"/>
        <v>7.0000000000000007E-2</v>
      </c>
      <c r="Z9">
        <f t="shared" si="2"/>
        <v>1.4952000000000001</v>
      </c>
      <c r="AA9">
        <f t="shared" si="3"/>
        <v>112.20952680000001</v>
      </c>
      <c r="AB9">
        <f t="shared" si="4"/>
        <v>0.1122095268</v>
      </c>
    </row>
    <row r="10" spans="1:28" ht="12.75" x14ac:dyDescent="0.2">
      <c r="A10">
        <v>7425106</v>
      </c>
      <c r="B10" t="s">
        <v>23</v>
      </c>
      <c r="C10" t="s">
        <v>24</v>
      </c>
      <c r="D10">
        <v>103</v>
      </c>
      <c r="E10" t="s">
        <v>25</v>
      </c>
      <c r="F10">
        <v>3273</v>
      </c>
      <c r="G10" t="s">
        <v>26</v>
      </c>
      <c r="H10" t="s">
        <v>27</v>
      </c>
      <c r="I10" s="1">
        <v>39303</v>
      </c>
      <c r="J10">
        <v>1053.3475000000001</v>
      </c>
      <c r="K10">
        <v>1</v>
      </c>
      <c r="L10">
        <v>1</v>
      </c>
      <c r="M10">
        <v>1</v>
      </c>
      <c r="O10">
        <v>3</v>
      </c>
      <c r="P10">
        <v>554</v>
      </c>
      <c r="Q10">
        <v>6</v>
      </c>
      <c r="R10">
        <v>1</v>
      </c>
      <c r="S10">
        <v>2989290.3462</v>
      </c>
      <c r="T10">
        <v>60805.405100000004</v>
      </c>
      <c r="U10">
        <v>8000</v>
      </c>
      <c r="V10">
        <v>123.6900676782806</v>
      </c>
      <c r="W10">
        <v>680</v>
      </c>
      <c r="X10">
        <f t="shared" si="0"/>
        <v>47</v>
      </c>
      <c r="Y10" s="2">
        <f t="shared" si="1"/>
        <v>0.08</v>
      </c>
      <c r="Z10">
        <f t="shared" si="2"/>
        <v>1.7088000000000001</v>
      </c>
      <c r="AA10">
        <f t="shared" si="3"/>
        <v>669.69495359999996</v>
      </c>
      <c r="AB10">
        <f t="shared" si="4"/>
        <v>0.66969495359999998</v>
      </c>
    </row>
    <row r="11" spans="1:28" ht="12.75" x14ac:dyDescent="0.2">
      <c r="A11">
        <v>7425106</v>
      </c>
      <c r="B11" t="s">
        <v>23</v>
      </c>
      <c r="C11" t="s">
        <v>24</v>
      </c>
      <c r="D11">
        <v>103</v>
      </c>
      <c r="E11" t="s">
        <v>25</v>
      </c>
      <c r="F11">
        <v>3273</v>
      </c>
      <c r="G11" t="s">
        <v>26</v>
      </c>
      <c r="H11" t="s">
        <v>27</v>
      </c>
      <c r="I11" s="1">
        <v>39303</v>
      </c>
      <c r="J11">
        <v>1053.3475000000001</v>
      </c>
      <c r="K11">
        <v>1</v>
      </c>
      <c r="L11">
        <v>1</v>
      </c>
      <c r="M11">
        <v>1</v>
      </c>
      <c r="O11">
        <v>3</v>
      </c>
      <c r="P11">
        <v>554</v>
      </c>
      <c r="Q11">
        <v>6</v>
      </c>
      <c r="R11">
        <v>1</v>
      </c>
      <c r="S11">
        <v>2989290.3462</v>
      </c>
      <c r="T11">
        <v>60805.405100000004</v>
      </c>
      <c r="U11">
        <v>9000</v>
      </c>
      <c r="V11">
        <v>71.221969286146049</v>
      </c>
      <c r="W11">
        <v>643</v>
      </c>
      <c r="X11">
        <f t="shared" si="0"/>
        <v>37</v>
      </c>
      <c r="Y11" s="2">
        <f t="shared" si="1"/>
        <v>0.09</v>
      </c>
      <c r="Z11">
        <f t="shared" si="2"/>
        <v>1.9223999999999999</v>
      </c>
      <c r="AA11">
        <f t="shared" si="3"/>
        <v>593.10749879999992</v>
      </c>
      <c r="AB11">
        <f t="shared" si="4"/>
        <v>0.59310749879999991</v>
      </c>
    </row>
    <row r="12" spans="1:28" ht="12.75" x14ac:dyDescent="0.2">
      <c r="A12">
        <v>7425106</v>
      </c>
      <c r="B12" t="s">
        <v>23</v>
      </c>
      <c r="C12" t="s">
        <v>24</v>
      </c>
      <c r="D12">
        <v>103</v>
      </c>
      <c r="E12" t="s">
        <v>25</v>
      </c>
      <c r="F12">
        <v>3273</v>
      </c>
      <c r="G12" t="s">
        <v>26</v>
      </c>
      <c r="H12" t="s">
        <v>27</v>
      </c>
      <c r="I12" s="1">
        <v>39303</v>
      </c>
      <c r="J12">
        <v>1053.3475000000001</v>
      </c>
      <c r="K12">
        <v>1</v>
      </c>
      <c r="L12">
        <v>1</v>
      </c>
      <c r="M12">
        <v>1</v>
      </c>
      <c r="O12">
        <v>3</v>
      </c>
      <c r="P12">
        <v>554</v>
      </c>
      <c r="Q12">
        <v>6</v>
      </c>
      <c r="R12">
        <v>1</v>
      </c>
      <c r="S12">
        <v>2989290.3462</v>
      </c>
      <c r="T12">
        <v>60805.405100000004</v>
      </c>
      <c r="U12">
        <v>10000</v>
      </c>
      <c r="V12">
        <v>54.727588805666237</v>
      </c>
      <c r="W12">
        <v>619</v>
      </c>
      <c r="X12">
        <f t="shared" si="0"/>
        <v>24</v>
      </c>
      <c r="Y12" s="2">
        <f t="shared" si="1"/>
        <v>0.1</v>
      </c>
      <c r="Z12">
        <f t="shared" si="2"/>
        <v>2.1360000000000001</v>
      </c>
      <c r="AA12">
        <f t="shared" si="3"/>
        <v>427.46486400000003</v>
      </c>
      <c r="AB12">
        <f t="shared" si="4"/>
        <v>0.42746486400000006</v>
      </c>
    </row>
    <row r="13" spans="1:28" ht="12.75" x14ac:dyDescent="0.2">
      <c r="A13">
        <v>7425106</v>
      </c>
      <c r="B13" t="s">
        <v>23</v>
      </c>
      <c r="C13" t="s">
        <v>24</v>
      </c>
      <c r="D13">
        <v>103</v>
      </c>
      <c r="E13" t="s">
        <v>25</v>
      </c>
      <c r="F13">
        <v>3273</v>
      </c>
      <c r="G13" t="s">
        <v>26</v>
      </c>
      <c r="H13" t="s">
        <v>27</v>
      </c>
      <c r="I13" s="1">
        <v>39303</v>
      </c>
      <c r="J13">
        <v>1053.3475000000001</v>
      </c>
      <c r="K13">
        <v>1</v>
      </c>
      <c r="L13">
        <v>1</v>
      </c>
      <c r="M13">
        <v>1</v>
      </c>
      <c r="O13">
        <v>3</v>
      </c>
      <c r="P13">
        <v>554</v>
      </c>
      <c r="Q13">
        <v>6</v>
      </c>
      <c r="R13">
        <v>1</v>
      </c>
      <c r="S13">
        <v>2989290.3462</v>
      </c>
      <c r="T13">
        <v>60805.405100000004</v>
      </c>
      <c r="U13">
        <v>11000</v>
      </c>
      <c r="V13">
        <v>347.4711857537385</v>
      </c>
      <c r="W13">
        <v>597</v>
      </c>
      <c r="X13">
        <f t="shared" si="0"/>
        <v>22</v>
      </c>
      <c r="Y13" s="2">
        <f t="shared" si="1"/>
        <v>0.11</v>
      </c>
      <c r="Z13">
        <f t="shared" si="2"/>
        <v>2.3496000000000001</v>
      </c>
      <c r="AA13">
        <f t="shared" si="3"/>
        <v>431.02707120000002</v>
      </c>
      <c r="AB13">
        <f t="shared" si="4"/>
        <v>0.4310270712</v>
      </c>
    </row>
    <row r="14" spans="1:28" ht="12.75" x14ac:dyDescent="0.2">
      <c r="A14">
        <v>7425106</v>
      </c>
      <c r="B14" t="s">
        <v>23</v>
      </c>
      <c r="C14" t="s">
        <v>24</v>
      </c>
      <c r="D14">
        <v>103</v>
      </c>
      <c r="E14" t="s">
        <v>25</v>
      </c>
      <c r="F14">
        <v>3273</v>
      </c>
      <c r="G14" t="s">
        <v>26</v>
      </c>
      <c r="H14" t="s">
        <v>27</v>
      </c>
      <c r="I14" s="1">
        <v>39303</v>
      </c>
      <c r="J14">
        <v>1053.3475000000001</v>
      </c>
      <c r="K14">
        <v>1</v>
      </c>
      <c r="L14">
        <v>1</v>
      </c>
      <c r="M14">
        <v>1</v>
      </c>
      <c r="O14">
        <v>3</v>
      </c>
      <c r="P14">
        <v>554</v>
      </c>
      <c r="Q14">
        <v>6</v>
      </c>
      <c r="R14">
        <v>1</v>
      </c>
      <c r="S14">
        <v>2989290.3462</v>
      </c>
      <c r="T14">
        <v>60805.405100000004</v>
      </c>
      <c r="U14">
        <v>12000</v>
      </c>
      <c r="V14">
        <v>5.8263412055300181</v>
      </c>
      <c r="W14">
        <v>584</v>
      </c>
      <c r="X14">
        <f t="shared" si="0"/>
        <v>13</v>
      </c>
      <c r="Y14" s="2">
        <f t="shared" si="1"/>
        <v>0.12</v>
      </c>
      <c r="Z14">
        <f t="shared" si="2"/>
        <v>2.5631999999999997</v>
      </c>
      <c r="AA14">
        <f t="shared" si="3"/>
        <v>277.85216159999999</v>
      </c>
      <c r="AB14">
        <f t="shared" si="4"/>
        <v>0.27785216159999998</v>
      </c>
    </row>
    <row r="15" spans="1:28" ht="12.75" x14ac:dyDescent="0.2">
      <c r="A15">
        <v>7425106</v>
      </c>
      <c r="B15" t="s">
        <v>23</v>
      </c>
      <c r="C15" t="s">
        <v>24</v>
      </c>
      <c r="D15">
        <v>103</v>
      </c>
      <c r="E15" t="s">
        <v>25</v>
      </c>
      <c r="F15">
        <v>3273</v>
      </c>
      <c r="G15" t="s">
        <v>26</v>
      </c>
      <c r="H15" t="s">
        <v>27</v>
      </c>
      <c r="I15" s="1">
        <v>39303</v>
      </c>
      <c r="J15">
        <v>1053.3475000000001</v>
      </c>
      <c r="K15">
        <v>1</v>
      </c>
      <c r="L15">
        <v>1</v>
      </c>
      <c r="M15">
        <v>1</v>
      </c>
      <c r="O15">
        <v>3</v>
      </c>
      <c r="P15">
        <v>554</v>
      </c>
      <c r="Q15">
        <v>6</v>
      </c>
      <c r="R15">
        <v>1</v>
      </c>
      <c r="S15">
        <v>2989290.3462</v>
      </c>
      <c r="T15">
        <v>60805.405100000004</v>
      </c>
      <c r="U15">
        <v>13000</v>
      </c>
      <c r="V15">
        <v>336.42529055549488</v>
      </c>
      <c r="W15">
        <v>561</v>
      </c>
      <c r="X15">
        <f t="shared" si="0"/>
        <v>23</v>
      </c>
      <c r="Y15" s="2">
        <f t="shared" si="1"/>
        <v>0.13</v>
      </c>
      <c r="Z15">
        <f t="shared" si="2"/>
        <v>2.7768000000000002</v>
      </c>
      <c r="AA15">
        <f t="shared" si="3"/>
        <v>532.54997639999999</v>
      </c>
      <c r="AB15">
        <f t="shared" si="4"/>
        <v>0.53254997640000001</v>
      </c>
    </row>
    <row r="16" spans="1:28" ht="12.75" x14ac:dyDescent="0.2">
      <c r="A16">
        <v>7425106</v>
      </c>
      <c r="B16" t="s">
        <v>23</v>
      </c>
      <c r="C16" t="s">
        <v>24</v>
      </c>
      <c r="D16">
        <v>103</v>
      </c>
      <c r="E16" t="s">
        <v>25</v>
      </c>
      <c r="F16">
        <v>3273</v>
      </c>
      <c r="G16" t="s">
        <v>26</v>
      </c>
      <c r="H16" t="s">
        <v>27</v>
      </c>
      <c r="I16" s="1">
        <v>39303</v>
      </c>
      <c r="J16">
        <v>1053.3475000000001</v>
      </c>
      <c r="K16">
        <v>1</v>
      </c>
      <c r="L16">
        <v>1</v>
      </c>
      <c r="M16">
        <v>1</v>
      </c>
      <c r="O16">
        <v>3</v>
      </c>
      <c r="P16">
        <v>554</v>
      </c>
      <c r="Q16">
        <v>6</v>
      </c>
      <c r="R16">
        <v>1</v>
      </c>
      <c r="S16">
        <v>2989290.3462</v>
      </c>
      <c r="T16">
        <v>60805.405100000004</v>
      </c>
      <c r="U16">
        <v>14000</v>
      </c>
      <c r="V16">
        <v>3.8140730128938949</v>
      </c>
      <c r="W16">
        <v>560</v>
      </c>
      <c r="X16">
        <f t="shared" si="0"/>
        <v>1</v>
      </c>
      <c r="Y16" s="2">
        <f t="shared" si="1"/>
        <v>0.14000000000000001</v>
      </c>
      <c r="Z16">
        <f t="shared" si="2"/>
        <v>2.9904000000000002</v>
      </c>
      <c r="AA16">
        <f t="shared" si="3"/>
        <v>24.935450400000001</v>
      </c>
      <c r="AB16">
        <f t="shared" si="4"/>
        <v>2.49354504E-2</v>
      </c>
    </row>
    <row r="17" spans="1:28" ht="12.75" x14ac:dyDescent="0.2">
      <c r="A17">
        <v>7425106</v>
      </c>
      <c r="B17" t="s">
        <v>23</v>
      </c>
      <c r="C17" t="s">
        <v>24</v>
      </c>
      <c r="D17">
        <v>103</v>
      </c>
      <c r="E17" t="s">
        <v>25</v>
      </c>
      <c r="F17">
        <v>3273</v>
      </c>
      <c r="G17" t="s">
        <v>26</v>
      </c>
      <c r="H17" t="s">
        <v>27</v>
      </c>
      <c r="I17" s="1">
        <v>39303</v>
      </c>
      <c r="J17">
        <v>1053.3475000000001</v>
      </c>
      <c r="K17">
        <v>1</v>
      </c>
      <c r="L17">
        <v>1</v>
      </c>
      <c r="M17">
        <v>1</v>
      </c>
      <c r="O17">
        <v>3</v>
      </c>
      <c r="P17">
        <v>554</v>
      </c>
      <c r="Q17">
        <v>6</v>
      </c>
      <c r="R17">
        <v>1</v>
      </c>
      <c r="S17">
        <v>2989290.3462</v>
      </c>
      <c r="T17">
        <v>60805.405100000004</v>
      </c>
      <c r="U17">
        <v>15000</v>
      </c>
      <c r="V17">
        <v>26.906090385213489</v>
      </c>
      <c r="W17">
        <v>524</v>
      </c>
      <c r="X17">
        <f t="shared" si="0"/>
        <v>36</v>
      </c>
      <c r="Y17" s="2">
        <f t="shared" si="1"/>
        <v>0.15</v>
      </c>
      <c r="Z17">
        <f t="shared" si="2"/>
        <v>3.2039999999999997</v>
      </c>
      <c r="AA17">
        <f t="shared" si="3"/>
        <v>961.79594399999985</v>
      </c>
      <c r="AB17">
        <f t="shared" si="4"/>
        <v>0.9617959439999999</v>
      </c>
    </row>
    <row r="18" spans="1:28" ht="12.75" x14ac:dyDescent="0.2">
      <c r="A18">
        <v>7425106</v>
      </c>
      <c r="B18" t="s">
        <v>23</v>
      </c>
      <c r="C18" t="s">
        <v>24</v>
      </c>
      <c r="D18">
        <v>103</v>
      </c>
      <c r="E18" t="s">
        <v>25</v>
      </c>
      <c r="F18">
        <v>3273</v>
      </c>
      <c r="G18" t="s">
        <v>26</v>
      </c>
      <c r="H18" t="s">
        <v>27</v>
      </c>
      <c r="I18" s="1">
        <v>39303</v>
      </c>
      <c r="J18">
        <v>1053.3475000000001</v>
      </c>
      <c r="K18">
        <v>1</v>
      </c>
      <c r="L18">
        <v>1</v>
      </c>
      <c r="M18">
        <v>1</v>
      </c>
      <c r="O18">
        <v>3</v>
      </c>
      <c r="P18">
        <v>554</v>
      </c>
      <c r="Q18">
        <v>6</v>
      </c>
      <c r="R18">
        <v>1</v>
      </c>
      <c r="S18">
        <v>2989290.3462</v>
      </c>
      <c r="T18">
        <v>60805.405100000004</v>
      </c>
      <c r="U18">
        <v>16000</v>
      </c>
      <c r="V18">
        <v>10.007982817262389</v>
      </c>
      <c r="W18">
        <f>(W17+W19)/2</f>
        <v>513.5</v>
      </c>
      <c r="X18">
        <f>W17-W18</f>
        <v>10.5</v>
      </c>
      <c r="Y18" s="2">
        <f t="shared" si="1"/>
        <v>0.16</v>
      </c>
      <c r="Z18">
        <f t="shared" si="2"/>
        <v>3.4176000000000002</v>
      </c>
      <c r="AA18">
        <f t="shared" si="3"/>
        <v>299.22540480000004</v>
      </c>
      <c r="AB18">
        <f t="shared" si="4"/>
        <v>0.29922540480000004</v>
      </c>
    </row>
    <row r="19" spans="1:28" ht="12.75" x14ac:dyDescent="0.2">
      <c r="A19">
        <v>7425106</v>
      </c>
      <c r="B19" t="s">
        <v>23</v>
      </c>
      <c r="C19" t="s">
        <v>24</v>
      </c>
      <c r="D19">
        <v>103</v>
      </c>
      <c r="E19" t="s">
        <v>25</v>
      </c>
      <c r="F19">
        <v>3273</v>
      </c>
      <c r="G19" t="s">
        <v>26</v>
      </c>
      <c r="H19" t="s">
        <v>27</v>
      </c>
      <c r="I19" s="1">
        <v>39303</v>
      </c>
      <c r="J19">
        <v>1053.3475000000001</v>
      </c>
      <c r="K19">
        <v>1</v>
      </c>
      <c r="L19">
        <v>1</v>
      </c>
      <c r="M19">
        <v>1</v>
      </c>
      <c r="O19">
        <v>3</v>
      </c>
      <c r="P19">
        <v>554</v>
      </c>
      <c r="Q19">
        <v>6</v>
      </c>
      <c r="R19">
        <v>1</v>
      </c>
      <c r="S19">
        <v>2989290.3462</v>
      </c>
      <c r="T19">
        <v>60805.405100000004</v>
      </c>
      <c r="U19">
        <v>17000</v>
      </c>
      <c r="V19">
        <v>9.0902750964978001</v>
      </c>
      <c r="W19">
        <v>503</v>
      </c>
      <c r="X19">
        <f t="shared" si="0"/>
        <v>10.5</v>
      </c>
      <c r="Y19" s="2">
        <f t="shared" si="1"/>
        <v>0.17</v>
      </c>
      <c r="Z19">
        <f t="shared" si="2"/>
        <v>3.6312000000000002</v>
      </c>
      <c r="AA19">
        <f t="shared" si="3"/>
        <v>317.92699260000006</v>
      </c>
      <c r="AB19">
        <f t="shared" si="4"/>
        <v>0.31792699260000007</v>
      </c>
    </row>
    <row r="20" spans="1:28" ht="12.75" x14ac:dyDescent="0.2">
      <c r="A20">
        <v>7425106</v>
      </c>
      <c r="B20" t="s">
        <v>23</v>
      </c>
      <c r="C20" t="s">
        <v>24</v>
      </c>
      <c r="D20">
        <v>103</v>
      </c>
      <c r="E20" t="s">
        <v>25</v>
      </c>
      <c r="F20">
        <v>3273</v>
      </c>
      <c r="G20" t="s">
        <v>26</v>
      </c>
      <c r="H20" t="s">
        <v>27</v>
      </c>
      <c r="I20" s="1">
        <v>39303</v>
      </c>
      <c r="J20">
        <v>1053.3475000000001</v>
      </c>
      <c r="K20">
        <v>1</v>
      </c>
      <c r="L20">
        <v>1</v>
      </c>
      <c r="M20">
        <v>1</v>
      </c>
      <c r="O20">
        <v>3</v>
      </c>
      <c r="P20">
        <v>554</v>
      </c>
      <c r="Q20">
        <v>6</v>
      </c>
      <c r="R20">
        <v>1</v>
      </c>
      <c r="S20">
        <v>2989290.3462</v>
      </c>
      <c r="T20">
        <v>60805.405100000004</v>
      </c>
      <c r="U20">
        <v>18000</v>
      </c>
      <c r="V20">
        <v>78.906278985330275</v>
      </c>
      <c r="W20">
        <v>490</v>
      </c>
      <c r="X20">
        <f t="shared" si="0"/>
        <v>13</v>
      </c>
      <c r="Y20" s="2">
        <f t="shared" si="1"/>
        <v>0.18</v>
      </c>
      <c r="Z20">
        <f t="shared" si="2"/>
        <v>3.8447999999999998</v>
      </c>
      <c r="AA20">
        <f t="shared" si="3"/>
        <v>416.77824239999995</v>
      </c>
      <c r="AB20">
        <f t="shared" si="4"/>
        <v>0.41677824239999994</v>
      </c>
    </row>
    <row r="21" spans="1:28" ht="12.75" x14ac:dyDescent="0.2">
      <c r="A21">
        <v>7425106</v>
      </c>
      <c r="B21" t="s">
        <v>23</v>
      </c>
      <c r="C21" t="s">
        <v>24</v>
      </c>
      <c r="D21">
        <v>103</v>
      </c>
      <c r="E21" t="s">
        <v>25</v>
      </c>
      <c r="F21">
        <v>3273</v>
      </c>
      <c r="G21" t="s">
        <v>26</v>
      </c>
      <c r="H21" t="s">
        <v>27</v>
      </c>
      <c r="I21" s="1">
        <v>39303</v>
      </c>
      <c r="J21">
        <v>1053.3475000000001</v>
      </c>
      <c r="K21">
        <v>1</v>
      </c>
      <c r="L21">
        <v>1</v>
      </c>
      <c r="M21">
        <v>1</v>
      </c>
      <c r="O21">
        <v>3</v>
      </c>
      <c r="P21">
        <v>554</v>
      </c>
      <c r="Q21">
        <v>6</v>
      </c>
      <c r="R21">
        <v>1</v>
      </c>
      <c r="S21">
        <v>2989290.3462</v>
      </c>
      <c r="T21">
        <v>60805.405100000004</v>
      </c>
      <c r="U21">
        <v>19000</v>
      </c>
      <c r="V21">
        <v>75.068579008819739</v>
      </c>
      <c r="W21">
        <v>464</v>
      </c>
      <c r="X21">
        <f t="shared" si="0"/>
        <v>26</v>
      </c>
      <c r="Y21" s="2">
        <f t="shared" si="1"/>
        <v>0.19</v>
      </c>
      <c r="Z21">
        <f t="shared" si="2"/>
        <v>4.0583999999999998</v>
      </c>
      <c r="AA21">
        <f t="shared" si="3"/>
        <v>879.8651784000001</v>
      </c>
      <c r="AB21">
        <f t="shared" si="4"/>
        <v>0.87986517840000011</v>
      </c>
    </row>
    <row r="22" spans="1:28" ht="12.75" x14ac:dyDescent="0.2">
      <c r="A22">
        <v>7425106</v>
      </c>
      <c r="B22" t="s">
        <v>23</v>
      </c>
      <c r="C22" t="s">
        <v>24</v>
      </c>
      <c r="D22">
        <v>103</v>
      </c>
      <c r="E22" t="s">
        <v>25</v>
      </c>
      <c r="F22">
        <v>3273</v>
      </c>
      <c r="G22" t="s">
        <v>26</v>
      </c>
      <c r="H22" t="s">
        <v>27</v>
      </c>
      <c r="I22" s="1">
        <v>39303</v>
      </c>
      <c r="J22">
        <v>1053.3475000000001</v>
      </c>
      <c r="K22">
        <v>1</v>
      </c>
      <c r="L22">
        <v>1</v>
      </c>
      <c r="M22">
        <v>1</v>
      </c>
      <c r="O22">
        <v>3</v>
      </c>
      <c r="P22">
        <v>554</v>
      </c>
      <c r="Q22">
        <v>6</v>
      </c>
      <c r="R22">
        <v>1</v>
      </c>
      <c r="S22">
        <v>2989290.3462</v>
      </c>
      <c r="T22">
        <v>60805.405100000004</v>
      </c>
      <c r="U22">
        <v>20000</v>
      </c>
      <c r="V22">
        <v>67.619860365604808</v>
      </c>
      <c r="W22">
        <v>448</v>
      </c>
      <c r="X22">
        <f t="shared" si="0"/>
        <v>16</v>
      </c>
      <c r="Y22" s="2">
        <f t="shared" si="1"/>
        <v>0.2</v>
      </c>
      <c r="Z22">
        <f t="shared" si="2"/>
        <v>4.2720000000000002</v>
      </c>
      <c r="AA22">
        <f t="shared" si="3"/>
        <v>569.95315200000005</v>
      </c>
      <c r="AB22">
        <f t="shared" si="4"/>
        <v>0.56995315200000007</v>
      </c>
    </row>
    <row r="23" spans="1:28" ht="12.75" x14ac:dyDescent="0.2">
      <c r="A23">
        <v>7425106</v>
      </c>
      <c r="B23" t="s">
        <v>23</v>
      </c>
      <c r="C23" t="s">
        <v>24</v>
      </c>
      <c r="D23">
        <v>103</v>
      </c>
      <c r="E23" t="s">
        <v>25</v>
      </c>
      <c r="F23">
        <v>3273</v>
      </c>
      <c r="G23" t="s">
        <v>26</v>
      </c>
      <c r="H23" t="s">
        <v>27</v>
      </c>
      <c r="I23" s="1">
        <v>39303</v>
      </c>
      <c r="J23">
        <v>1053.3475000000001</v>
      </c>
      <c r="K23">
        <v>1</v>
      </c>
      <c r="L23">
        <v>1</v>
      </c>
      <c r="M23">
        <v>1</v>
      </c>
      <c r="O23">
        <v>3</v>
      </c>
      <c r="P23">
        <v>554</v>
      </c>
      <c r="Q23">
        <v>6</v>
      </c>
      <c r="R23">
        <v>1</v>
      </c>
      <c r="S23">
        <v>2989290.3462</v>
      </c>
      <c r="T23">
        <v>60805.405100000004</v>
      </c>
      <c r="U23">
        <v>21000</v>
      </c>
      <c r="V23">
        <v>27.790442475928771</v>
      </c>
      <c r="W23">
        <v>440</v>
      </c>
      <c r="X23">
        <f t="shared" si="0"/>
        <v>8</v>
      </c>
      <c r="Y23" s="2">
        <f t="shared" si="1"/>
        <v>0.21</v>
      </c>
      <c r="Z23">
        <f t="shared" si="2"/>
        <v>4.4855999999999998</v>
      </c>
      <c r="AA23">
        <f t="shared" si="3"/>
        <v>299.22540479999998</v>
      </c>
      <c r="AB23">
        <f t="shared" si="4"/>
        <v>0.29922540479999998</v>
      </c>
    </row>
    <row r="24" spans="1:28" ht="12.75" x14ac:dyDescent="0.2">
      <c r="A24">
        <v>7425106</v>
      </c>
      <c r="B24" t="s">
        <v>23</v>
      </c>
      <c r="C24" t="s">
        <v>24</v>
      </c>
      <c r="D24">
        <v>103</v>
      </c>
      <c r="E24" t="s">
        <v>25</v>
      </c>
      <c r="F24">
        <v>3273</v>
      </c>
      <c r="G24" t="s">
        <v>26</v>
      </c>
      <c r="H24" t="s">
        <v>27</v>
      </c>
      <c r="I24" s="1">
        <v>39303</v>
      </c>
      <c r="J24">
        <v>1053.3475000000001</v>
      </c>
      <c r="K24">
        <v>1</v>
      </c>
      <c r="L24">
        <v>1</v>
      </c>
      <c r="M24">
        <v>1</v>
      </c>
      <c r="O24">
        <v>3</v>
      </c>
      <c r="P24">
        <v>554</v>
      </c>
      <c r="Q24">
        <v>6</v>
      </c>
      <c r="R24">
        <v>1</v>
      </c>
      <c r="S24">
        <v>2989290.3462</v>
      </c>
      <c r="T24">
        <v>60805.405100000004</v>
      </c>
      <c r="U24">
        <v>22000</v>
      </c>
      <c r="V24">
        <v>57.783457334344881</v>
      </c>
      <c r="W24">
        <f>(W23+W25)/2</f>
        <v>427</v>
      </c>
      <c r="X24">
        <f t="shared" si="0"/>
        <v>13</v>
      </c>
      <c r="Y24" s="2">
        <f t="shared" si="1"/>
        <v>0.22</v>
      </c>
      <c r="Z24">
        <f t="shared" si="2"/>
        <v>4.6992000000000003</v>
      </c>
      <c r="AA24">
        <f t="shared" si="3"/>
        <v>509.39562960000001</v>
      </c>
      <c r="AB24">
        <f t="shared" si="4"/>
        <v>0.50939562959999996</v>
      </c>
    </row>
    <row r="25" spans="1:28" ht="12.75" x14ac:dyDescent="0.2">
      <c r="A25">
        <v>7425106</v>
      </c>
      <c r="B25" t="s">
        <v>23</v>
      </c>
      <c r="C25" t="s">
        <v>24</v>
      </c>
      <c r="D25">
        <v>103</v>
      </c>
      <c r="E25" t="s">
        <v>25</v>
      </c>
      <c r="F25">
        <v>3273</v>
      </c>
      <c r="G25" t="s">
        <v>26</v>
      </c>
      <c r="H25" t="s">
        <v>27</v>
      </c>
      <c r="I25" s="1">
        <v>39303</v>
      </c>
      <c r="J25">
        <v>1053.3475000000001</v>
      </c>
      <c r="K25">
        <v>1</v>
      </c>
      <c r="L25">
        <v>1</v>
      </c>
      <c r="M25">
        <v>1</v>
      </c>
      <c r="O25">
        <v>3</v>
      </c>
      <c r="P25">
        <v>554</v>
      </c>
      <c r="Q25">
        <v>6</v>
      </c>
      <c r="R25">
        <v>1</v>
      </c>
      <c r="S25">
        <v>2989290.3462</v>
      </c>
      <c r="T25">
        <v>60805.405100000004</v>
      </c>
      <c r="U25">
        <v>23000</v>
      </c>
      <c r="V25">
        <v>265.76360795598953</v>
      </c>
      <c r="W25">
        <v>414</v>
      </c>
      <c r="X25">
        <f t="shared" si="0"/>
        <v>13</v>
      </c>
      <c r="Y25" s="2">
        <f t="shared" si="1"/>
        <v>0.23</v>
      </c>
      <c r="Z25">
        <f t="shared" si="2"/>
        <v>4.9127999999999998</v>
      </c>
      <c r="AA25">
        <f t="shared" si="3"/>
        <v>532.54997639999999</v>
      </c>
      <c r="AB25">
        <f t="shared" si="4"/>
        <v>0.53254997640000001</v>
      </c>
    </row>
    <row r="26" spans="1:28" ht="12.75" x14ac:dyDescent="0.2">
      <c r="A26">
        <v>7425106</v>
      </c>
      <c r="B26" t="s">
        <v>23</v>
      </c>
      <c r="C26" t="s">
        <v>24</v>
      </c>
      <c r="D26">
        <v>103</v>
      </c>
      <c r="E26" t="s">
        <v>25</v>
      </c>
      <c r="F26">
        <v>3273</v>
      </c>
      <c r="G26" t="s">
        <v>26</v>
      </c>
      <c r="H26" t="s">
        <v>27</v>
      </c>
      <c r="I26" s="1">
        <v>39303</v>
      </c>
      <c r="J26">
        <v>1053.3475000000001</v>
      </c>
      <c r="K26">
        <v>1</v>
      </c>
      <c r="L26">
        <v>1</v>
      </c>
      <c r="M26">
        <v>1</v>
      </c>
      <c r="O26">
        <v>3</v>
      </c>
      <c r="P26">
        <v>554</v>
      </c>
      <c r="Q26">
        <v>6</v>
      </c>
      <c r="R26">
        <v>1</v>
      </c>
      <c r="S26">
        <v>2989290.3462</v>
      </c>
      <c r="T26">
        <v>60805.405100000004</v>
      </c>
      <c r="U26">
        <v>24000</v>
      </c>
      <c r="V26">
        <v>356.35881706210989</v>
      </c>
      <c r="W26">
        <v>402</v>
      </c>
      <c r="X26">
        <f t="shared" si="0"/>
        <v>12</v>
      </c>
      <c r="Y26" s="2">
        <f t="shared" si="1"/>
        <v>0.24</v>
      </c>
      <c r="Z26">
        <f t="shared" si="2"/>
        <v>5.1263999999999994</v>
      </c>
      <c r="AA26">
        <f t="shared" si="3"/>
        <v>512.95783679999988</v>
      </c>
      <c r="AB26">
        <f t="shared" si="4"/>
        <v>0.51295783679999984</v>
      </c>
    </row>
    <row r="27" spans="1:28" ht="12.75" x14ac:dyDescent="0.2">
      <c r="A27">
        <v>7425106</v>
      </c>
      <c r="B27" t="s">
        <v>23</v>
      </c>
      <c r="C27" t="s">
        <v>24</v>
      </c>
      <c r="D27">
        <v>103</v>
      </c>
      <c r="E27" t="s">
        <v>25</v>
      </c>
      <c r="F27">
        <v>3273</v>
      </c>
      <c r="G27" t="s">
        <v>26</v>
      </c>
      <c r="H27" t="s">
        <v>27</v>
      </c>
      <c r="I27" s="1">
        <v>39303</v>
      </c>
      <c r="J27">
        <v>1053.3475000000001</v>
      </c>
      <c r="K27">
        <v>1</v>
      </c>
      <c r="L27">
        <v>1</v>
      </c>
      <c r="M27">
        <v>1</v>
      </c>
      <c r="O27">
        <v>3</v>
      </c>
      <c r="P27">
        <v>554</v>
      </c>
      <c r="Q27">
        <v>6</v>
      </c>
      <c r="R27">
        <v>1</v>
      </c>
      <c r="S27">
        <v>2989290.3462</v>
      </c>
      <c r="T27">
        <v>60805.405100000004</v>
      </c>
      <c r="U27">
        <v>25000</v>
      </c>
      <c r="V27">
        <v>62.560270702859683</v>
      </c>
      <c r="W27">
        <f>(W25+W29)/2</f>
        <v>395</v>
      </c>
      <c r="X27">
        <f t="shared" si="0"/>
        <v>7</v>
      </c>
      <c r="Y27" s="2">
        <f t="shared" si="1"/>
        <v>0.25</v>
      </c>
      <c r="Z27">
        <f t="shared" si="2"/>
        <v>5.34</v>
      </c>
      <c r="AA27">
        <f t="shared" si="3"/>
        <v>311.69313</v>
      </c>
      <c r="AB27">
        <f t="shared" si="4"/>
        <v>0.31169312999999998</v>
      </c>
    </row>
    <row r="28" spans="1:28" ht="12.75" x14ac:dyDescent="0.2">
      <c r="A28">
        <v>7425106</v>
      </c>
      <c r="B28" t="s">
        <v>23</v>
      </c>
      <c r="C28" t="s">
        <v>24</v>
      </c>
      <c r="D28">
        <v>103</v>
      </c>
      <c r="E28" t="s">
        <v>25</v>
      </c>
      <c r="F28">
        <v>3273</v>
      </c>
      <c r="G28" t="s">
        <v>26</v>
      </c>
      <c r="H28" t="s">
        <v>27</v>
      </c>
      <c r="I28" s="1">
        <v>39303</v>
      </c>
      <c r="J28">
        <v>1053.3475000000001</v>
      </c>
      <c r="K28">
        <v>1</v>
      </c>
      <c r="L28">
        <v>1</v>
      </c>
      <c r="M28">
        <v>1</v>
      </c>
      <c r="O28">
        <v>3</v>
      </c>
      <c r="P28">
        <v>554</v>
      </c>
      <c r="Q28">
        <v>6</v>
      </c>
      <c r="R28">
        <v>1</v>
      </c>
      <c r="S28">
        <v>2989290.3462</v>
      </c>
      <c r="T28">
        <v>60805.405100000004</v>
      </c>
      <c r="U28">
        <v>26000</v>
      </c>
      <c r="V28">
        <v>10.00798265118098</v>
      </c>
      <c r="W28">
        <f>(W27+W29)/2</f>
        <v>385.5</v>
      </c>
      <c r="X28">
        <f t="shared" si="0"/>
        <v>9.5</v>
      </c>
      <c r="Y28" s="2">
        <f t="shared" si="1"/>
        <v>0.26</v>
      </c>
      <c r="Z28">
        <f t="shared" si="2"/>
        <v>5.5536000000000003</v>
      </c>
      <c r="AA28">
        <f t="shared" si="3"/>
        <v>439.93258920000005</v>
      </c>
      <c r="AB28">
        <f t="shared" si="4"/>
        <v>0.43993258920000006</v>
      </c>
    </row>
    <row r="29" spans="1:28" ht="12.75" x14ac:dyDescent="0.2">
      <c r="A29">
        <v>7425106</v>
      </c>
      <c r="B29" t="s">
        <v>23</v>
      </c>
      <c r="C29" t="s">
        <v>24</v>
      </c>
      <c r="D29">
        <v>103</v>
      </c>
      <c r="E29" t="s">
        <v>25</v>
      </c>
      <c r="F29">
        <v>3273</v>
      </c>
      <c r="G29" t="s">
        <v>26</v>
      </c>
      <c r="H29" t="s">
        <v>27</v>
      </c>
      <c r="I29" s="1">
        <v>39303</v>
      </c>
      <c r="J29">
        <v>1053.3475000000001</v>
      </c>
      <c r="K29">
        <v>1</v>
      </c>
      <c r="L29">
        <v>1</v>
      </c>
      <c r="M29">
        <v>1</v>
      </c>
      <c r="O29">
        <v>3</v>
      </c>
      <c r="P29">
        <v>554</v>
      </c>
      <c r="Q29">
        <v>6</v>
      </c>
      <c r="R29">
        <v>1</v>
      </c>
      <c r="S29">
        <v>2989290.3462</v>
      </c>
      <c r="T29">
        <v>60805.405100000004</v>
      </c>
      <c r="U29">
        <v>27000</v>
      </c>
      <c r="V29">
        <v>38.927542659470987</v>
      </c>
      <c r="W29">
        <v>376</v>
      </c>
      <c r="X29">
        <f t="shared" si="0"/>
        <v>9.5</v>
      </c>
      <c r="Y29" s="2">
        <f t="shared" si="1"/>
        <v>0.27</v>
      </c>
      <c r="Z29">
        <f t="shared" si="2"/>
        <v>5.7671999999999999</v>
      </c>
      <c r="AA29">
        <f t="shared" si="3"/>
        <v>456.85307339999997</v>
      </c>
      <c r="AB29">
        <f t="shared" si="4"/>
        <v>0.45685307339999998</v>
      </c>
    </row>
    <row r="30" spans="1:28" ht="12.75" x14ac:dyDescent="0.2">
      <c r="A30">
        <v>7425106</v>
      </c>
      <c r="B30" t="s">
        <v>23</v>
      </c>
      <c r="C30" t="s">
        <v>24</v>
      </c>
      <c r="D30">
        <v>103</v>
      </c>
      <c r="E30" t="s">
        <v>25</v>
      </c>
      <c r="F30">
        <v>3273</v>
      </c>
      <c r="G30" t="s">
        <v>26</v>
      </c>
      <c r="H30" t="s">
        <v>27</v>
      </c>
      <c r="I30" s="1">
        <v>39303</v>
      </c>
      <c r="J30">
        <v>1053.3475000000001</v>
      </c>
      <c r="K30">
        <v>1</v>
      </c>
      <c r="L30">
        <v>1</v>
      </c>
      <c r="M30">
        <v>1</v>
      </c>
      <c r="O30">
        <v>3</v>
      </c>
      <c r="P30">
        <v>554</v>
      </c>
      <c r="Q30">
        <v>6</v>
      </c>
      <c r="R30">
        <v>1</v>
      </c>
      <c r="S30">
        <v>2989290.3462</v>
      </c>
      <c r="T30">
        <v>60805.405100000004</v>
      </c>
      <c r="U30">
        <v>28000</v>
      </c>
      <c r="V30">
        <v>104.58892027187569</v>
      </c>
      <c r="W30">
        <v>361</v>
      </c>
      <c r="X30">
        <f t="shared" si="0"/>
        <v>15</v>
      </c>
      <c r="Y30" s="2">
        <f t="shared" si="1"/>
        <v>0.28000000000000003</v>
      </c>
      <c r="Z30">
        <f t="shared" si="2"/>
        <v>5.9808000000000003</v>
      </c>
      <c r="AA30">
        <f t="shared" si="3"/>
        <v>748.06351199999995</v>
      </c>
      <c r="AB30">
        <f t="shared" si="4"/>
        <v>0.74806351199999999</v>
      </c>
    </row>
    <row r="31" spans="1:28" ht="12.75" x14ac:dyDescent="0.2">
      <c r="A31">
        <v>7425106</v>
      </c>
      <c r="B31" t="s">
        <v>23</v>
      </c>
      <c r="C31" t="s">
        <v>24</v>
      </c>
      <c r="D31">
        <v>103</v>
      </c>
      <c r="E31" t="s">
        <v>25</v>
      </c>
      <c r="F31">
        <v>3273</v>
      </c>
      <c r="G31" t="s">
        <v>26</v>
      </c>
      <c r="H31" t="s">
        <v>27</v>
      </c>
      <c r="I31" s="1">
        <v>39303</v>
      </c>
      <c r="J31">
        <v>1053.3475000000001</v>
      </c>
      <c r="K31">
        <v>1</v>
      </c>
      <c r="L31">
        <v>1</v>
      </c>
      <c r="M31">
        <v>1</v>
      </c>
      <c r="O31">
        <v>3</v>
      </c>
      <c r="P31">
        <v>554</v>
      </c>
      <c r="Q31">
        <v>6</v>
      </c>
      <c r="R31">
        <v>1</v>
      </c>
      <c r="S31">
        <v>2989290.3462</v>
      </c>
      <c r="T31">
        <v>60805.405100000004</v>
      </c>
      <c r="U31">
        <v>29000</v>
      </c>
      <c r="V31">
        <v>84.093861704478755</v>
      </c>
      <c r="W31">
        <f>(W30+W32)/2</f>
        <v>357</v>
      </c>
      <c r="X31">
        <f t="shared" si="0"/>
        <v>4</v>
      </c>
      <c r="Y31" s="2">
        <f t="shared" si="1"/>
        <v>0.28999999999999998</v>
      </c>
      <c r="Z31">
        <f t="shared" si="2"/>
        <v>6.194399999999999</v>
      </c>
      <c r="AA31">
        <f t="shared" si="3"/>
        <v>206.60801759999995</v>
      </c>
      <c r="AB31">
        <f t="shared" si="4"/>
        <v>0.20660801759999994</v>
      </c>
    </row>
    <row r="32" spans="1:28" ht="12.75" x14ac:dyDescent="0.2">
      <c r="A32">
        <v>7425106</v>
      </c>
      <c r="B32" t="s">
        <v>23</v>
      </c>
      <c r="C32" t="s">
        <v>24</v>
      </c>
      <c r="D32">
        <v>103</v>
      </c>
      <c r="E32" t="s">
        <v>25</v>
      </c>
      <c r="F32">
        <v>3273</v>
      </c>
      <c r="G32" t="s">
        <v>26</v>
      </c>
      <c r="H32" t="s">
        <v>27</v>
      </c>
      <c r="I32" s="1">
        <v>39303</v>
      </c>
      <c r="J32">
        <v>1053.3475000000001</v>
      </c>
      <c r="K32">
        <v>1</v>
      </c>
      <c r="L32">
        <v>1</v>
      </c>
      <c r="M32">
        <v>1</v>
      </c>
      <c r="O32">
        <v>3</v>
      </c>
      <c r="P32">
        <v>554</v>
      </c>
      <c r="Q32">
        <v>6</v>
      </c>
      <c r="R32">
        <v>1</v>
      </c>
      <c r="S32">
        <v>2989290.3462</v>
      </c>
      <c r="T32">
        <v>60805.405100000004</v>
      </c>
      <c r="U32">
        <v>30000</v>
      </c>
      <c r="V32">
        <v>340.46334608225618</v>
      </c>
      <c r="W32">
        <v>353</v>
      </c>
      <c r="X32">
        <f t="shared" si="0"/>
        <v>4</v>
      </c>
      <c r="Y32" s="2">
        <f t="shared" si="1"/>
        <v>0.3</v>
      </c>
      <c r="Z32">
        <f t="shared" si="2"/>
        <v>6.4079999999999995</v>
      </c>
      <c r="AA32">
        <f t="shared" si="3"/>
        <v>213.73243199999996</v>
      </c>
      <c r="AB32">
        <f t="shared" si="4"/>
        <v>0.21373243199999997</v>
      </c>
    </row>
    <row r="33" spans="1:28" ht="12.75" x14ac:dyDescent="0.2">
      <c r="A33">
        <v>7425106</v>
      </c>
      <c r="B33" t="s">
        <v>23</v>
      </c>
      <c r="C33" t="s">
        <v>24</v>
      </c>
      <c r="D33">
        <v>103</v>
      </c>
      <c r="E33" t="s">
        <v>25</v>
      </c>
      <c r="F33">
        <v>3273</v>
      </c>
      <c r="G33" t="s">
        <v>26</v>
      </c>
      <c r="H33" t="s">
        <v>27</v>
      </c>
      <c r="I33" s="1">
        <v>39303</v>
      </c>
      <c r="J33">
        <v>1053.3475000000001</v>
      </c>
      <c r="K33">
        <v>1</v>
      </c>
      <c r="L33">
        <v>1</v>
      </c>
      <c r="M33">
        <v>1</v>
      </c>
      <c r="O33">
        <v>3</v>
      </c>
      <c r="P33">
        <v>554</v>
      </c>
      <c r="Q33">
        <v>6</v>
      </c>
      <c r="R33">
        <v>1</v>
      </c>
      <c r="S33">
        <v>2989290.3462</v>
      </c>
      <c r="T33">
        <v>60805.405100000004</v>
      </c>
      <c r="U33">
        <v>31000</v>
      </c>
      <c r="V33">
        <v>50.013127093204368</v>
      </c>
      <c r="W33">
        <v>341</v>
      </c>
      <c r="X33">
        <f t="shared" si="0"/>
        <v>12</v>
      </c>
      <c r="Y33" s="2">
        <f t="shared" si="1"/>
        <v>0.31</v>
      </c>
      <c r="Z33">
        <f t="shared" si="2"/>
        <v>6.6215999999999999</v>
      </c>
      <c r="AA33">
        <f t="shared" si="3"/>
        <v>662.5705392000001</v>
      </c>
      <c r="AB33">
        <f t="shared" si="4"/>
        <v>0.66257053920000009</v>
      </c>
    </row>
    <row r="34" spans="1:28" ht="12.75" x14ac:dyDescent="0.2">
      <c r="A34">
        <v>7425106</v>
      </c>
      <c r="B34" t="s">
        <v>23</v>
      </c>
      <c r="C34" t="s">
        <v>24</v>
      </c>
      <c r="D34">
        <v>103</v>
      </c>
      <c r="E34" t="s">
        <v>25</v>
      </c>
      <c r="F34">
        <v>3273</v>
      </c>
      <c r="G34" t="s">
        <v>26</v>
      </c>
      <c r="H34" t="s">
        <v>27</v>
      </c>
      <c r="I34" s="1">
        <v>39303</v>
      </c>
      <c r="J34">
        <v>1053.3475000000001</v>
      </c>
      <c r="K34">
        <v>1</v>
      </c>
      <c r="L34">
        <v>1</v>
      </c>
      <c r="M34">
        <v>1</v>
      </c>
      <c r="O34">
        <v>3</v>
      </c>
      <c r="P34">
        <v>554</v>
      </c>
      <c r="Q34">
        <v>6</v>
      </c>
      <c r="R34">
        <v>1</v>
      </c>
      <c r="S34">
        <v>2989290.3462</v>
      </c>
      <c r="T34">
        <v>60805.405100000004</v>
      </c>
      <c r="U34">
        <v>32000</v>
      </c>
      <c r="V34">
        <v>295.01689801636093</v>
      </c>
      <c r="W34">
        <f>(W33+W35)/2</f>
        <v>335</v>
      </c>
      <c r="X34">
        <f t="shared" si="0"/>
        <v>6</v>
      </c>
      <c r="Y34" s="2">
        <f t="shared" si="1"/>
        <v>0.32</v>
      </c>
      <c r="Z34">
        <f t="shared" si="2"/>
        <v>6.8352000000000004</v>
      </c>
      <c r="AA34">
        <f t="shared" si="3"/>
        <v>341.97189120000007</v>
      </c>
      <c r="AB34">
        <f t="shared" si="4"/>
        <v>0.3419718912000001</v>
      </c>
    </row>
    <row r="35" spans="1:28" ht="12.75" x14ac:dyDescent="0.2">
      <c r="A35">
        <v>7425106</v>
      </c>
      <c r="B35" t="s">
        <v>23</v>
      </c>
      <c r="C35" t="s">
        <v>24</v>
      </c>
      <c r="D35">
        <v>103</v>
      </c>
      <c r="E35" t="s">
        <v>25</v>
      </c>
      <c r="F35">
        <v>3273</v>
      </c>
      <c r="G35" t="s">
        <v>26</v>
      </c>
      <c r="H35" t="s">
        <v>27</v>
      </c>
      <c r="I35" s="1">
        <v>39303</v>
      </c>
      <c r="J35">
        <v>1053.3475000000001</v>
      </c>
      <c r="K35">
        <v>1</v>
      </c>
      <c r="L35">
        <v>1</v>
      </c>
      <c r="M35">
        <v>1</v>
      </c>
      <c r="O35">
        <v>3</v>
      </c>
      <c r="P35">
        <v>554</v>
      </c>
      <c r="Q35">
        <v>6</v>
      </c>
      <c r="R35">
        <v>1</v>
      </c>
      <c r="S35">
        <v>2989290.3462</v>
      </c>
      <c r="T35">
        <v>60805.405100000004</v>
      </c>
      <c r="U35">
        <v>33000</v>
      </c>
      <c r="V35">
        <v>165.9637549696991</v>
      </c>
      <c r="W35">
        <v>329</v>
      </c>
      <c r="X35">
        <f t="shared" si="0"/>
        <v>6</v>
      </c>
      <c r="Y35" s="2">
        <f t="shared" si="1"/>
        <v>0.33</v>
      </c>
      <c r="Z35">
        <f t="shared" si="2"/>
        <v>7.0488</v>
      </c>
      <c r="AA35">
        <f t="shared" si="3"/>
        <v>352.6585128000001</v>
      </c>
      <c r="AB35">
        <f t="shared" si="4"/>
        <v>0.3526585128000001</v>
      </c>
    </row>
    <row r="36" spans="1:28" ht="12.75" x14ac:dyDescent="0.2">
      <c r="A36">
        <v>7425106</v>
      </c>
      <c r="B36" t="s">
        <v>23</v>
      </c>
      <c r="C36" t="s">
        <v>24</v>
      </c>
      <c r="D36">
        <v>103</v>
      </c>
      <c r="E36" t="s">
        <v>25</v>
      </c>
      <c r="F36">
        <v>3273</v>
      </c>
      <c r="G36" t="s">
        <v>26</v>
      </c>
      <c r="H36" t="s">
        <v>27</v>
      </c>
      <c r="I36" s="1">
        <v>39303</v>
      </c>
      <c r="J36">
        <v>1053.3475000000001</v>
      </c>
      <c r="K36">
        <v>1</v>
      </c>
      <c r="L36">
        <v>1</v>
      </c>
      <c r="M36">
        <v>1</v>
      </c>
      <c r="O36">
        <v>3</v>
      </c>
      <c r="P36">
        <v>554</v>
      </c>
      <c r="Q36">
        <v>6</v>
      </c>
      <c r="R36">
        <v>1</v>
      </c>
      <c r="S36">
        <v>2989290.3462</v>
      </c>
      <c r="T36">
        <v>60805.405100000004</v>
      </c>
      <c r="U36">
        <v>34000</v>
      </c>
      <c r="V36">
        <v>98.403370007453702</v>
      </c>
      <c r="W36">
        <v>324</v>
      </c>
      <c r="X36">
        <f t="shared" si="0"/>
        <v>5</v>
      </c>
      <c r="Y36" s="2">
        <f t="shared" si="1"/>
        <v>0.34</v>
      </c>
      <c r="Z36">
        <f t="shared" si="2"/>
        <v>7.2624000000000004</v>
      </c>
      <c r="AA36">
        <f t="shared" si="3"/>
        <v>302.78761200000002</v>
      </c>
      <c r="AB36">
        <f t="shared" si="4"/>
        <v>0.30278761200000004</v>
      </c>
    </row>
    <row r="37" spans="1:28" ht="12.75" x14ac:dyDescent="0.2">
      <c r="A37">
        <v>7425106</v>
      </c>
      <c r="B37" t="s">
        <v>23</v>
      </c>
      <c r="C37" t="s">
        <v>24</v>
      </c>
      <c r="D37">
        <v>103</v>
      </c>
      <c r="E37" t="s">
        <v>25</v>
      </c>
      <c r="F37">
        <v>3273</v>
      </c>
      <c r="G37" t="s">
        <v>26</v>
      </c>
      <c r="H37" t="s">
        <v>27</v>
      </c>
      <c r="I37" s="1">
        <v>39303</v>
      </c>
      <c r="J37">
        <v>1053.3475000000001</v>
      </c>
      <c r="K37">
        <v>1</v>
      </c>
      <c r="L37">
        <v>1</v>
      </c>
      <c r="M37">
        <v>1</v>
      </c>
      <c r="O37">
        <v>3</v>
      </c>
      <c r="P37">
        <v>554</v>
      </c>
      <c r="Q37">
        <v>6</v>
      </c>
      <c r="R37">
        <v>1</v>
      </c>
      <c r="S37">
        <v>2989290.3462</v>
      </c>
      <c r="T37">
        <v>60805.405100000004</v>
      </c>
      <c r="U37">
        <v>35000</v>
      </c>
      <c r="V37">
        <v>48.814078495903033</v>
      </c>
      <c r="W37">
        <v>314</v>
      </c>
      <c r="X37">
        <f t="shared" si="0"/>
        <v>10</v>
      </c>
      <c r="Y37" s="2">
        <f t="shared" si="1"/>
        <v>0.35</v>
      </c>
      <c r="Z37">
        <f t="shared" si="2"/>
        <v>7.4759999999999991</v>
      </c>
      <c r="AA37">
        <f t="shared" si="3"/>
        <v>623.38625999999988</v>
      </c>
      <c r="AB37">
        <f t="shared" si="4"/>
        <v>0.62338625999999986</v>
      </c>
    </row>
    <row r="38" spans="1:28" ht="12.75" x14ac:dyDescent="0.2">
      <c r="A38">
        <v>7425106</v>
      </c>
      <c r="B38" t="s">
        <v>23</v>
      </c>
      <c r="C38" t="s">
        <v>24</v>
      </c>
      <c r="D38">
        <v>103</v>
      </c>
      <c r="E38" t="s">
        <v>25</v>
      </c>
      <c r="F38">
        <v>3273</v>
      </c>
      <c r="G38" t="s">
        <v>26</v>
      </c>
      <c r="H38" t="s">
        <v>27</v>
      </c>
      <c r="I38" s="1">
        <v>39303</v>
      </c>
      <c r="J38">
        <v>1053.3475000000001</v>
      </c>
      <c r="K38">
        <v>1</v>
      </c>
      <c r="L38">
        <v>1</v>
      </c>
      <c r="M38">
        <v>1</v>
      </c>
      <c r="O38">
        <v>3</v>
      </c>
      <c r="P38">
        <v>554</v>
      </c>
      <c r="Q38">
        <v>6</v>
      </c>
      <c r="R38">
        <v>1</v>
      </c>
      <c r="S38">
        <v>2989290.3462</v>
      </c>
      <c r="T38">
        <v>60805.405100000004</v>
      </c>
      <c r="U38">
        <v>36000</v>
      </c>
      <c r="V38">
        <v>22.14337713249261</v>
      </c>
      <c r="W38">
        <v>309</v>
      </c>
      <c r="X38">
        <f t="shared" si="0"/>
        <v>5</v>
      </c>
      <c r="Y38" s="2">
        <f t="shared" si="1"/>
        <v>0.36</v>
      </c>
      <c r="Z38">
        <f t="shared" si="2"/>
        <v>7.6895999999999995</v>
      </c>
      <c r="AA38">
        <f t="shared" si="3"/>
        <v>320.59864799999997</v>
      </c>
      <c r="AB38">
        <f t="shared" si="4"/>
        <v>0.32059864799999999</v>
      </c>
    </row>
    <row r="39" spans="1:28" ht="12.75" x14ac:dyDescent="0.2">
      <c r="A39">
        <v>7425106</v>
      </c>
      <c r="B39" t="s">
        <v>23</v>
      </c>
      <c r="C39" t="s">
        <v>24</v>
      </c>
      <c r="D39">
        <v>103</v>
      </c>
      <c r="E39" t="s">
        <v>25</v>
      </c>
      <c r="F39">
        <v>3273</v>
      </c>
      <c r="G39" t="s">
        <v>26</v>
      </c>
      <c r="H39" t="s">
        <v>27</v>
      </c>
      <c r="I39" s="1">
        <v>39303</v>
      </c>
      <c r="J39">
        <v>1053.3475000000001</v>
      </c>
      <c r="K39">
        <v>1</v>
      </c>
      <c r="L39">
        <v>1</v>
      </c>
      <c r="M39">
        <v>1</v>
      </c>
      <c r="O39">
        <v>3</v>
      </c>
      <c r="P39">
        <v>554</v>
      </c>
      <c r="Q39">
        <v>6</v>
      </c>
      <c r="R39">
        <v>1</v>
      </c>
      <c r="S39">
        <v>2989290.3462</v>
      </c>
      <c r="T39">
        <v>60805.405100000004</v>
      </c>
      <c r="U39">
        <v>37000</v>
      </c>
      <c r="V39">
        <v>85.146899650857861</v>
      </c>
      <c r="W39">
        <v>299</v>
      </c>
      <c r="X39">
        <f t="shared" si="0"/>
        <v>10</v>
      </c>
      <c r="Y39" s="2">
        <f t="shared" si="1"/>
        <v>0.37</v>
      </c>
      <c r="Z39">
        <f t="shared" si="2"/>
        <v>7.9032</v>
      </c>
      <c r="AA39">
        <f t="shared" si="3"/>
        <v>659.00833200000011</v>
      </c>
      <c r="AB39">
        <f t="shared" si="4"/>
        <v>0.65900833200000009</v>
      </c>
    </row>
    <row r="40" spans="1:28" ht="12.75" x14ac:dyDescent="0.2">
      <c r="A40">
        <v>7425106</v>
      </c>
      <c r="B40" t="s">
        <v>23</v>
      </c>
      <c r="C40" t="s">
        <v>24</v>
      </c>
      <c r="D40">
        <v>103</v>
      </c>
      <c r="E40" t="s">
        <v>25</v>
      </c>
      <c r="F40">
        <v>3273</v>
      </c>
      <c r="G40" t="s">
        <v>26</v>
      </c>
      <c r="H40" t="s">
        <v>27</v>
      </c>
      <c r="I40" s="1">
        <v>39303</v>
      </c>
      <c r="J40">
        <v>1053.3475000000001</v>
      </c>
      <c r="K40">
        <v>1</v>
      </c>
      <c r="L40">
        <v>1</v>
      </c>
      <c r="M40">
        <v>1</v>
      </c>
      <c r="O40">
        <v>3</v>
      </c>
      <c r="P40">
        <v>554</v>
      </c>
      <c r="Q40">
        <v>6</v>
      </c>
      <c r="R40">
        <v>1</v>
      </c>
      <c r="S40">
        <v>2989290.3462</v>
      </c>
      <c r="T40">
        <v>60805.405100000004</v>
      </c>
      <c r="U40">
        <v>38000</v>
      </c>
      <c r="V40">
        <v>49.763644457478897</v>
      </c>
      <c r="W40">
        <v>297</v>
      </c>
      <c r="X40">
        <f t="shared" si="0"/>
        <v>2</v>
      </c>
      <c r="Y40" s="2">
        <f t="shared" si="1"/>
        <v>0.38</v>
      </c>
      <c r="Z40">
        <f t="shared" si="2"/>
        <v>8.1167999999999996</v>
      </c>
      <c r="AA40">
        <f t="shared" si="3"/>
        <v>135.36387360000001</v>
      </c>
      <c r="AB40">
        <f t="shared" si="4"/>
        <v>0.13536387360000002</v>
      </c>
    </row>
    <row r="41" spans="1:28" ht="12.75" x14ac:dyDescent="0.2">
      <c r="A41">
        <v>7425106</v>
      </c>
      <c r="B41" t="s">
        <v>23</v>
      </c>
      <c r="C41" t="s">
        <v>24</v>
      </c>
      <c r="D41">
        <v>103</v>
      </c>
      <c r="E41" t="s">
        <v>25</v>
      </c>
      <c r="F41">
        <v>3273</v>
      </c>
      <c r="G41" t="s">
        <v>26</v>
      </c>
      <c r="H41" t="s">
        <v>27</v>
      </c>
      <c r="I41" s="1">
        <v>39303</v>
      </c>
      <c r="J41">
        <v>1053.3475000000001</v>
      </c>
      <c r="K41">
        <v>1</v>
      </c>
      <c r="L41">
        <v>1</v>
      </c>
      <c r="M41">
        <v>1</v>
      </c>
      <c r="O41">
        <v>3</v>
      </c>
      <c r="P41">
        <v>554</v>
      </c>
      <c r="Q41">
        <v>6</v>
      </c>
      <c r="R41">
        <v>1</v>
      </c>
      <c r="S41">
        <v>2989290.3462</v>
      </c>
      <c r="T41">
        <v>60805.405100000004</v>
      </c>
      <c r="U41">
        <v>39000</v>
      </c>
      <c r="V41">
        <v>284.47029612263321</v>
      </c>
      <c r="W41">
        <v>291</v>
      </c>
      <c r="X41">
        <f t="shared" si="0"/>
        <v>6</v>
      </c>
      <c r="Y41" s="2">
        <f t="shared" si="1"/>
        <v>0.39</v>
      </c>
      <c r="Z41">
        <f t="shared" si="2"/>
        <v>8.3304000000000009</v>
      </c>
      <c r="AA41">
        <f t="shared" si="3"/>
        <v>416.77824240000012</v>
      </c>
      <c r="AB41">
        <f t="shared" si="4"/>
        <v>0.41677824240000011</v>
      </c>
    </row>
    <row r="42" spans="1:28" ht="12.75" x14ac:dyDescent="0.2">
      <c r="A42">
        <v>7425106</v>
      </c>
      <c r="B42" t="s">
        <v>23</v>
      </c>
      <c r="C42" t="s">
        <v>24</v>
      </c>
      <c r="D42">
        <v>103</v>
      </c>
      <c r="E42" t="s">
        <v>25</v>
      </c>
      <c r="F42">
        <v>3273</v>
      </c>
      <c r="G42" t="s">
        <v>26</v>
      </c>
      <c r="H42" t="s">
        <v>27</v>
      </c>
      <c r="I42" s="1">
        <v>39303</v>
      </c>
      <c r="J42">
        <v>1053.3475000000001</v>
      </c>
      <c r="K42">
        <v>1</v>
      </c>
      <c r="L42">
        <v>1</v>
      </c>
      <c r="M42">
        <v>1</v>
      </c>
      <c r="O42">
        <v>3</v>
      </c>
      <c r="P42">
        <v>554</v>
      </c>
      <c r="Q42">
        <v>6</v>
      </c>
      <c r="R42">
        <v>1</v>
      </c>
      <c r="S42">
        <v>2989290.3462</v>
      </c>
      <c r="T42">
        <v>60805.405100000004</v>
      </c>
      <c r="U42">
        <v>40000</v>
      </c>
      <c r="V42">
        <v>26.216754092110389</v>
      </c>
      <c r="W42">
        <v>286</v>
      </c>
      <c r="X42">
        <f t="shared" si="0"/>
        <v>5</v>
      </c>
      <c r="Y42" s="2">
        <f t="shared" si="1"/>
        <v>0.4</v>
      </c>
      <c r="Z42">
        <f t="shared" si="2"/>
        <v>8.5440000000000005</v>
      </c>
      <c r="AA42">
        <f t="shared" si="3"/>
        <v>356.22072000000003</v>
      </c>
      <c r="AB42">
        <f t="shared" si="4"/>
        <v>0.35622072000000005</v>
      </c>
    </row>
    <row r="43" spans="1:28" ht="12.75" x14ac:dyDescent="0.2">
      <c r="A43">
        <v>7425106</v>
      </c>
      <c r="B43" t="s">
        <v>23</v>
      </c>
      <c r="C43" t="s">
        <v>24</v>
      </c>
      <c r="D43">
        <v>103</v>
      </c>
      <c r="E43" t="s">
        <v>25</v>
      </c>
      <c r="F43">
        <v>3273</v>
      </c>
      <c r="G43" t="s">
        <v>26</v>
      </c>
      <c r="H43" t="s">
        <v>27</v>
      </c>
      <c r="I43" s="1">
        <v>39303</v>
      </c>
      <c r="J43">
        <v>1053.3475000000001</v>
      </c>
      <c r="K43">
        <v>1</v>
      </c>
      <c r="L43">
        <v>1</v>
      </c>
      <c r="M43">
        <v>1</v>
      </c>
      <c r="O43">
        <v>3</v>
      </c>
      <c r="P43">
        <v>554</v>
      </c>
      <c r="Q43">
        <v>6</v>
      </c>
      <c r="R43">
        <v>1</v>
      </c>
      <c r="S43">
        <v>2989290.3462</v>
      </c>
      <c r="T43">
        <v>60805.405100000004</v>
      </c>
      <c r="U43">
        <v>41000</v>
      </c>
      <c r="V43">
        <v>75.068574134670655</v>
      </c>
      <c r="W43">
        <v>279</v>
      </c>
      <c r="X43">
        <f t="shared" si="0"/>
        <v>7</v>
      </c>
      <c r="Y43" s="2">
        <f t="shared" si="1"/>
        <v>0.41</v>
      </c>
      <c r="Z43">
        <f t="shared" si="2"/>
        <v>8.7576000000000001</v>
      </c>
      <c r="AA43">
        <f t="shared" si="3"/>
        <v>511.1767332</v>
      </c>
      <c r="AB43">
        <f t="shared" si="4"/>
        <v>0.51117673320000001</v>
      </c>
    </row>
    <row r="44" spans="1:28" ht="12.75" x14ac:dyDescent="0.2">
      <c r="A44">
        <v>7425106</v>
      </c>
      <c r="B44" t="s">
        <v>23</v>
      </c>
      <c r="C44" t="s">
        <v>24</v>
      </c>
      <c r="D44">
        <v>103</v>
      </c>
      <c r="E44" t="s">
        <v>25</v>
      </c>
      <c r="F44">
        <v>3273</v>
      </c>
      <c r="G44" t="s">
        <v>26</v>
      </c>
      <c r="H44" t="s">
        <v>27</v>
      </c>
      <c r="I44" s="1">
        <v>39303</v>
      </c>
      <c r="J44">
        <v>1053.3475000000001</v>
      </c>
      <c r="K44">
        <v>1</v>
      </c>
      <c r="L44">
        <v>1</v>
      </c>
      <c r="M44">
        <v>1</v>
      </c>
      <c r="O44">
        <v>3</v>
      </c>
      <c r="P44">
        <v>554</v>
      </c>
      <c r="Q44">
        <v>6</v>
      </c>
      <c r="R44">
        <v>1</v>
      </c>
      <c r="S44">
        <v>2989290.3462</v>
      </c>
      <c r="T44">
        <v>60805.405100000004</v>
      </c>
      <c r="U44">
        <v>42000</v>
      </c>
      <c r="V44">
        <v>354.61068893271658</v>
      </c>
      <c r="W44">
        <f>(W43+W45)/2</f>
        <v>275</v>
      </c>
      <c r="X44">
        <f t="shared" si="0"/>
        <v>4</v>
      </c>
      <c r="Y44" s="2">
        <f t="shared" si="1"/>
        <v>0.42</v>
      </c>
      <c r="Z44">
        <f t="shared" si="2"/>
        <v>8.9711999999999996</v>
      </c>
      <c r="AA44">
        <f t="shared" si="3"/>
        <v>299.22540479999998</v>
      </c>
      <c r="AB44">
        <f t="shared" si="4"/>
        <v>0.29922540479999998</v>
      </c>
    </row>
    <row r="45" spans="1:28" ht="12.75" x14ac:dyDescent="0.2">
      <c r="A45">
        <v>7425106</v>
      </c>
      <c r="B45" t="s">
        <v>23</v>
      </c>
      <c r="C45" t="s">
        <v>24</v>
      </c>
      <c r="D45">
        <v>103</v>
      </c>
      <c r="E45" t="s">
        <v>25</v>
      </c>
      <c r="F45">
        <v>3273</v>
      </c>
      <c r="G45" t="s">
        <v>26</v>
      </c>
      <c r="H45" t="s">
        <v>27</v>
      </c>
      <c r="I45" s="1">
        <v>39303</v>
      </c>
      <c r="J45">
        <v>1053.3475000000001</v>
      </c>
      <c r="K45">
        <v>1</v>
      </c>
      <c r="L45">
        <v>1</v>
      </c>
      <c r="M45">
        <v>1</v>
      </c>
      <c r="O45">
        <v>3</v>
      </c>
      <c r="P45">
        <v>554</v>
      </c>
      <c r="Q45">
        <v>6</v>
      </c>
      <c r="R45">
        <v>1</v>
      </c>
      <c r="S45">
        <v>2989290.3462</v>
      </c>
      <c r="T45">
        <v>60805.405100000004</v>
      </c>
      <c r="U45">
        <v>43000</v>
      </c>
      <c r="V45">
        <v>266.02061847145058</v>
      </c>
      <c r="W45">
        <v>271</v>
      </c>
      <c r="X45">
        <f t="shared" si="0"/>
        <v>4</v>
      </c>
      <c r="Y45" s="2">
        <f t="shared" si="1"/>
        <v>0.43</v>
      </c>
      <c r="Z45">
        <f t="shared" si="2"/>
        <v>9.1847999999999992</v>
      </c>
      <c r="AA45">
        <f t="shared" si="3"/>
        <v>306.34981919999996</v>
      </c>
      <c r="AB45">
        <f t="shared" si="4"/>
        <v>0.30634981919999993</v>
      </c>
    </row>
    <row r="46" spans="1:28" ht="12.75" x14ac:dyDescent="0.2">
      <c r="A46">
        <v>7425106</v>
      </c>
      <c r="B46" t="s">
        <v>23</v>
      </c>
      <c r="C46" t="s">
        <v>24</v>
      </c>
      <c r="D46">
        <v>103</v>
      </c>
      <c r="E46" t="s">
        <v>25</v>
      </c>
      <c r="F46">
        <v>3273</v>
      </c>
      <c r="G46" t="s">
        <v>26</v>
      </c>
      <c r="H46" t="s">
        <v>27</v>
      </c>
      <c r="I46" s="1">
        <v>39303</v>
      </c>
      <c r="J46">
        <v>1053.3475000000001</v>
      </c>
      <c r="K46">
        <v>1</v>
      </c>
      <c r="L46">
        <v>1</v>
      </c>
      <c r="M46">
        <v>1</v>
      </c>
      <c r="O46">
        <v>3</v>
      </c>
      <c r="P46">
        <v>554</v>
      </c>
      <c r="Q46">
        <v>6</v>
      </c>
      <c r="R46">
        <v>1</v>
      </c>
      <c r="S46">
        <v>2989290.3462</v>
      </c>
      <c r="T46">
        <v>60805.405100000004</v>
      </c>
      <c r="U46">
        <v>44000</v>
      </c>
      <c r="V46">
        <v>28.300761320278301</v>
      </c>
      <c r="W46">
        <v>268</v>
      </c>
      <c r="X46">
        <f t="shared" si="0"/>
        <v>3</v>
      </c>
      <c r="Y46" s="2">
        <f t="shared" si="1"/>
        <v>0.44</v>
      </c>
      <c r="Z46">
        <f t="shared" si="2"/>
        <v>9.3984000000000005</v>
      </c>
      <c r="AA46">
        <f t="shared" si="3"/>
        <v>235.10567520000001</v>
      </c>
      <c r="AB46">
        <f t="shared" si="4"/>
        <v>0.2351056752</v>
      </c>
    </row>
    <row r="47" spans="1:28" ht="12.75" x14ac:dyDescent="0.2">
      <c r="A47">
        <v>7425106</v>
      </c>
      <c r="B47" t="s">
        <v>23</v>
      </c>
      <c r="C47" t="s">
        <v>24</v>
      </c>
      <c r="D47">
        <v>103</v>
      </c>
      <c r="E47" t="s">
        <v>25</v>
      </c>
      <c r="F47">
        <v>3273</v>
      </c>
      <c r="G47" t="s">
        <v>26</v>
      </c>
      <c r="H47" t="s">
        <v>27</v>
      </c>
      <c r="I47" s="1">
        <v>39303</v>
      </c>
      <c r="J47">
        <v>1053.3475000000001</v>
      </c>
      <c r="K47">
        <v>1</v>
      </c>
      <c r="L47">
        <v>1</v>
      </c>
      <c r="M47">
        <v>1</v>
      </c>
      <c r="O47">
        <v>3</v>
      </c>
      <c r="P47">
        <v>554</v>
      </c>
      <c r="Q47">
        <v>6</v>
      </c>
      <c r="R47">
        <v>1</v>
      </c>
      <c r="S47">
        <v>2989290.3462</v>
      </c>
      <c r="T47">
        <v>60805.405100000004</v>
      </c>
      <c r="U47">
        <v>45000</v>
      </c>
      <c r="V47">
        <v>30.540604854336369</v>
      </c>
      <c r="W47">
        <v>264</v>
      </c>
      <c r="X47">
        <f t="shared" si="0"/>
        <v>4</v>
      </c>
      <c r="Y47" s="2">
        <f t="shared" si="1"/>
        <v>0.45</v>
      </c>
      <c r="Z47">
        <f t="shared" si="2"/>
        <v>9.6120000000000001</v>
      </c>
      <c r="AA47">
        <f t="shared" si="3"/>
        <v>320.59864799999997</v>
      </c>
      <c r="AB47">
        <f t="shared" si="4"/>
        <v>0.32059864799999999</v>
      </c>
    </row>
    <row r="48" spans="1:28" ht="12.75" x14ac:dyDescent="0.2">
      <c r="A48">
        <v>7425106</v>
      </c>
      <c r="B48" t="s">
        <v>23</v>
      </c>
      <c r="C48" t="s">
        <v>24</v>
      </c>
      <c r="D48">
        <v>103</v>
      </c>
      <c r="E48" t="s">
        <v>25</v>
      </c>
      <c r="F48">
        <v>3273</v>
      </c>
      <c r="G48" t="s">
        <v>26</v>
      </c>
      <c r="H48" t="s">
        <v>27</v>
      </c>
      <c r="I48" s="1">
        <v>39303</v>
      </c>
      <c r="J48">
        <v>1053.3475000000001</v>
      </c>
      <c r="K48">
        <v>1</v>
      </c>
      <c r="L48">
        <v>1</v>
      </c>
      <c r="M48">
        <v>1</v>
      </c>
      <c r="O48">
        <v>3</v>
      </c>
      <c r="P48">
        <v>554</v>
      </c>
      <c r="Q48">
        <v>6</v>
      </c>
      <c r="R48">
        <v>1</v>
      </c>
      <c r="S48">
        <v>2989290.3462</v>
      </c>
      <c r="T48">
        <v>60805.405100000004</v>
      </c>
      <c r="U48">
        <v>46000</v>
      </c>
      <c r="V48">
        <v>10.954072556331329</v>
      </c>
      <c r="W48">
        <v>255</v>
      </c>
      <c r="X48">
        <f t="shared" si="0"/>
        <v>9</v>
      </c>
      <c r="Y48" s="2">
        <f t="shared" si="1"/>
        <v>0.46</v>
      </c>
      <c r="Z48">
        <f t="shared" si="2"/>
        <v>9.8255999999999997</v>
      </c>
      <c r="AA48">
        <f t="shared" si="3"/>
        <v>737.37689040000009</v>
      </c>
      <c r="AB48">
        <f t="shared" si="4"/>
        <v>0.7373768904000001</v>
      </c>
    </row>
    <row r="49" spans="1:28" ht="12.75" x14ac:dyDescent="0.2">
      <c r="A49">
        <v>7425106</v>
      </c>
      <c r="B49" t="s">
        <v>23</v>
      </c>
      <c r="C49" t="s">
        <v>24</v>
      </c>
      <c r="D49">
        <v>103</v>
      </c>
      <c r="E49" t="s">
        <v>25</v>
      </c>
      <c r="F49">
        <v>3273</v>
      </c>
      <c r="G49" t="s">
        <v>26</v>
      </c>
      <c r="H49" t="s">
        <v>27</v>
      </c>
      <c r="I49" s="1">
        <v>39303</v>
      </c>
      <c r="J49">
        <v>1053.3475000000001</v>
      </c>
      <c r="K49">
        <v>1</v>
      </c>
      <c r="L49">
        <v>1</v>
      </c>
      <c r="M49">
        <v>1</v>
      </c>
      <c r="O49">
        <v>3</v>
      </c>
      <c r="P49">
        <v>554</v>
      </c>
      <c r="Q49">
        <v>6</v>
      </c>
      <c r="R49">
        <v>1</v>
      </c>
      <c r="S49">
        <v>2989290.3462</v>
      </c>
      <c r="T49">
        <v>60805.405100000004</v>
      </c>
      <c r="U49">
        <v>47000</v>
      </c>
      <c r="V49">
        <v>16.550427186280899</v>
      </c>
      <c r="W49">
        <v>246</v>
      </c>
      <c r="X49">
        <f t="shared" si="0"/>
        <v>9</v>
      </c>
      <c r="Y49" s="2">
        <f t="shared" si="1"/>
        <v>0.47</v>
      </c>
      <c r="Z49">
        <f t="shared" si="2"/>
        <v>10.039199999999999</v>
      </c>
      <c r="AA49">
        <f t="shared" si="3"/>
        <v>753.40682279999999</v>
      </c>
      <c r="AB49">
        <f t="shared" si="4"/>
        <v>0.75340682279999993</v>
      </c>
    </row>
    <row r="50" spans="1:28" ht="12.75" x14ac:dyDescent="0.2">
      <c r="A50">
        <v>7425106</v>
      </c>
      <c r="B50" t="s">
        <v>23</v>
      </c>
      <c r="C50" t="s">
        <v>24</v>
      </c>
      <c r="D50">
        <v>103</v>
      </c>
      <c r="E50" t="s">
        <v>25</v>
      </c>
      <c r="F50">
        <v>3273</v>
      </c>
      <c r="G50" t="s">
        <v>26</v>
      </c>
      <c r="H50" t="s">
        <v>27</v>
      </c>
      <c r="I50" s="1">
        <v>39303</v>
      </c>
      <c r="J50">
        <v>1053.3475000000001</v>
      </c>
      <c r="K50">
        <v>1</v>
      </c>
      <c r="L50">
        <v>1</v>
      </c>
      <c r="M50">
        <v>1</v>
      </c>
      <c r="O50">
        <v>3</v>
      </c>
      <c r="P50">
        <v>554</v>
      </c>
      <c r="Q50">
        <v>6</v>
      </c>
      <c r="R50">
        <v>1</v>
      </c>
      <c r="S50">
        <v>2989290.3462</v>
      </c>
      <c r="T50">
        <v>60805.405100000004</v>
      </c>
      <c r="U50">
        <v>48000</v>
      </c>
      <c r="V50">
        <v>80.868801449655024</v>
      </c>
      <c r="W50">
        <v>244</v>
      </c>
      <c r="X50">
        <f t="shared" si="0"/>
        <v>2</v>
      </c>
      <c r="Y50" s="2">
        <f t="shared" si="1"/>
        <v>0.48</v>
      </c>
      <c r="Z50">
        <f t="shared" si="2"/>
        <v>10.252799999999999</v>
      </c>
      <c r="AA50">
        <f t="shared" si="3"/>
        <v>170.98594560000001</v>
      </c>
      <c r="AB50">
        <f t="shared" si="4"/>
        <v>0.17098594559999999</v>
      </c>
    </row>
    <row r="51" spans="1:28" ht="12.75" x14ac:dyDescent="0.2">
      <c r="A51">
        <v>7425106</v>
      </c>
      <c r="B51" t="s">
        <v>23</v>
      </c>
      <c r="C51" t="s">
        <v>24</v>
      </c>
      <c r="D51">
        <v>103</v>
      </c>
      <c r="E51" t="s">
        <v>25</v>
      </c>
      <c r="F51">
        <v>3273</v>
      </c>
      <c r="G51" t="s">
        <v>26</v>
      </c>
      <c r="H51" t="s">
        <v>27</v>
      </c>
      <c r="I51" s="1">
        <v>39303</v>
      </c>
      <c r="J51">
        <v>1053.3475000000001</v>
      </c>
      <c r="K51">
        <v>1</v>
      </c>
      <c r="L51">
        <v>1</v>
      </c>
      <c r="M51">
        <v>1</v>
      </c>
      <c r="O51">
        <v>3</v>
      </c>
      <c r="P51">
        <v>554</v>
      </c>
      <c r="Q51">
        <v>6</v>
      </c>
      <c r="R51">
        <v>1</v>
      </c>
      <c r="S51">
        <v>2989290.3462</v>
      </c>
      <c r="T51">
        <v>60805.405100000004</v>
      </c>
      <c r="U51">
        <v>49000</v>
      </c>
      <c r="V51">
        <v>82.85188300001893</v>
      </c>
      <c r="W51">
        <v>238</v>
      </c>
      <c r="X51">
        <f t="shared" si="0"/>
        <v>6</v>
      </c>
      <c r="Y51" s="2">
        <f t="shared" si="1"/>
        <v>0.49</v>
      </c>
      <c r="Z51">
        <f t="shared" si="2"/>
        <v>10.4664</v>
      </c>
      <c r="AA51">
        <f t="shared" si="3"/>
        <v>523.64445839999996</v>
      </c>
      <c r="AB51">
        <f t="shared" si="4"/>
        <v>0.52364445839999996</v>
      </c>
    </row>
    <row r="52" spans="1:28" ht="12.75" x14ac:dyDescent="0.2">
      <c r="A52">
        <v>7425106</v>
      </c>
      <c r="B52" t="s">
        <v>23</v>
      </c>
      <c r="C52" t="s">
        <v>24</v>
      </c>
      <c r="D52">
        <v>103</v>
      </c>
      <c r="E52" t="s">
        <v>25</v>
      </c>
      <c r="F52">
        <v>3273</v>
      </c>
      <c r="G52" t="s">
        <v>26</v>
      </c>
      <c r="H52" t="s">
        <v>27</v>
      </c>
      <c r="I52" s="1">
        <v>39303</v>
      </c>
      <c r="J52">
        <v>1053.3475000000001</v>
      </c>
      <c r="K52">
        <v>1</v>
      </c>
      <c r="L52">
        <v>1</v>
      </c>
      <c r="M52">
        <v>1</v>
      </c>
      <c r="O52">
        <v>3</v>
      </c>
      <c r="P52">
        <v>554</v>
      </c>
      <c r="Q52">
        <v>6</v>
      </c>
      <c r="R52">
        <v>1</v>
      </c>
      <c r="S52">
        <v>2989290.3462</v>
      </c>
      <c r="T52">
        <v>60805.405100000004</v>
      </c>
      <c r="U52">
        <v>50000</v>
      </c>
      <c r="V52">
        <v>39.749708828602493</v>
      </c>
      <c r="W52">
        <v>235</v>
      </c>
      <c r="X52">
        <f t="shared" si="0"/>
        <v>3</v>
      </c>
      <c r="Y52" s="2">
        <f t="shared" si="1"/>
        <v>0.5</v>
      </c>
      <c r="Z52">
        <f t="shared" si="2"/>
        <v>10.68</v>
      </c>
      <c r="AA52">
        <f t="shared" si="3"/>
        <v>267.16554000000002</v>
      </c>
      <c r="AB52">
        <f t="shared" si="4"/>
        <v>0.26716554000000003</v>
      </c>
    </row>
    <row r="53" spans="1:28" ht="12.75" x14ac:dyDescent="0.2">
      <c r="A53">
        <v>7425106</v>
      </c>
      <c r="B53" t="s">
        <v>23</v>
      </c>
      <c r="C53" t="s">
        <v>24</v>
      </c>
      <c r="D53">
        <v>103</v>
      </c>
      <c r="E53" t="s">
        <v>25</v>
      </c>
      <c r="F53">
        <v>3273</v>
      </c>
      <c r="G53" t="s">
        <v>26</v>
      </c>
      <c r="H53" t="s">
        <v>27</v>
      </c>
      <c r="I53" s="1">
        <v>39303</v>
      </c>
      <c r="J53">
        <v>1053.3475000000001</v>
      </c>
      <c r="K53">
        <v>1</v>
      </c>
      <c r="L53">
        <v>1</v>
      </c>
      <c r="M53">
        <v>1</v>
      </c>
      <c r="O53">
        <v>3</v>
      </c>
      <c r="P53">
        <v>554</v>
      </c>
      <c r="Q53">
        <v>6</v>
      </c>
      <c r="R53">
        <v>1</v>
      </c>
      <c r="S53">
        <v>2989290.3462</v>
      </c>
      <c r="T53">
        <v>60805.405100000004</v>
      </c>
      <c r="U53">
        <v>51000</v>
      </c>
      <c r="V53">
        <v>62.745244031481533</v>
      </c>
      <c r="W53">
        <v>228</v>
      </c>
      <c r="X53">
        <f t="shared" si="0"/>
        <v>7</v>
      </c>
      <c r="Y53" s="2">
        <f t="shared" si="1"/>
        <v>0.51</v>
      </c>
      <c r="Z53">
        <f t="shared" si="2"/>
        <v>10.893599999999999</v>
      </c>
      <c r="AA53">
        <f t="shared" si="3"/>
        <v>635.8539851999999</v>
      </c>
      <c r="AB53">
        <f t="shared" si="4"/>
        <v>0.63585398519999992</v>
      </c>
    </row>
    <row r="54" spans="1:28" ht="12.75" x14ac:dyDescent="0.2">
      <c r="A54">
        <v>7425106</v>
      </c>
      <c r="B54" t="s">
        <v>23</v>
      </c>
      <c r="C54" t="s">
        <v>24</v>
      </c>
      <c r="D54">
        <v>103</v>
      </c>
      <c r="E54" t="s">
        <v>25</v>
      </c>
      <c r="F54">
        <v>3273</v>
      </c>
      <c r="G54" t="s">
        <v>26</v>
      </c>
      <c r="H54" t="s">
        <v>27</v>
      </c>
      <c r="I54" s="1">
        <v>39303</v>
      </c>
      <c r="J54">
        <v>1053.3475000000001</v>
      </c>
      <c r="K54">
        <v>1</v>
      </c>
      <c r="L54">
        <v>1</v>
      </c>
      <c r="M54">
        <v>1</v>
      </c>
      <c r="O54">
        <v>3</v>
      </c>
      <c r="P54">
        <v>554</v>
      </c>
      <c r="Q54">
        <v>6</v>
      </c>
      <c r="R54">
        <v>1</v>
      </c>
      <c r="S54">
        <v>2989290.3462</v>
      </c>
      <c r="T54">
        <v>60805.405100000004</v>
      </c>
      <c r="U54">
        <v>52000</v>
      </c>
      <c r="V54">
        <v>22.55723787401363</v>
      </c>
      <c r="W54">
        <v>226</v>
      </c>
      <c r="X54">
        <f t="shared" si="0"/>
        <v>2</v>
      </c>
      <c r="Y54" s="2">
        <f t="shared" si="1"/>
        <v>0.52</v>
      </c>
      <c r="Z54">
        <f t="shared" si="2"/>
        <v>11.107200000000001</v>
      </c>
      <c r="AA54">
        <f t="shared" si="3"/>
        <v>185.23477440000002</v>
      </c>
      <c r="AB54">
        <f t="shared" si="4"/>
        <v>0.18523477440000002</v>
      </c>
    </row>
    <row r="55" spans="1:28" ht="12.75" x14ac:dyDescent="0.2">
      <c r="A55">
        <v>7425106</v>
      </c>
      <c r="B55" t="s">
        <v>23</v>
      </c>
      <c r="C55" t="s">
        <v>24</v>
      </c>
      <c r="D55">
        <v>103</v>
      </c>
      <c r="E55" t="s">
        <v>25</v>
      </c>
      <c r="F55">
        <v>3273</v>
      </c>
      <c r="G55" t="s">
        <v>26</v>
      </c>
      <c r="H55" t="s">
        <v>27</v>
      </c>
      <c r="I55" s="1">
        <v>39303</v>
      </c>
      <c r="J55">
        <v>1053.3475000000001</v>
      </c>
      <c r="K55">
        <v>1</v>
      </c>
      <c r="L55">
        <v>1</v>
      </c>
      <c r="M55">
        <v>1</v>
      </c>
      <c r="O55">
        <v>3</v>
      </c>
      <c r="P55">
        <v>554</v>
      </c>
      <c r="Q55">
        <v>6</v>
      </c>
      <c r="R55">
        <v>1</v>
      </c>
      <c r="S55">
        <v>2989290.3462</v>
      </c>
      <c r="T55">
        <v>60805.405100000004</v>
      </c>
      <c r="U55">
        <v>53000</v>
      </c>
      <c r="V55">
        <v>13.190620986521131</v>
      </c>
      <c r="W55">
        <v>222</v>
      </c>
      <c r="X55">
        <f t="shared" si="0"/>
        <v>4</v>
      </c>
      <c r="Y55" s="2">
        <f t="shared" si="1"/>
        <v>0.53</v>
      </c>
      <c r="Z55">
        <f t="shared" si="2"/>
        <v>11.3208</v>
      </c>
      <c r="AA55">
        <f t="shared" si="3"/>
        <v>377.59396320000008</v>
      </c>
      <c r="AB55">
        <f t="shared" si="4"/>
        <v>0.37759396320000005</v>
      </c>
    </row>
    <row r="56" spans="1:28" ht="12.75" x14ac:dyDescent="0.2">
      <c r="A56">
        <v>7425106</v>
      </c>
      <c r="B56" t="s">
        <v>23</v>
      </c>
      <c r="C56" t="s">
        <v>24</v>
      </c>
      <c r="D56">
        <v>103</v>
      </c>
      <c r="E56" t="s">
        <v>25</v>
      </c>
      <c r="F56">
        <v>3273</v>
      </c>
      <c r="G56" t="s">
        <v>26</v>
      </c>
      <c r="H56" t="s">
        <v>27</v>
      </c>
      <c r="I56" s="1">
        <v>39303</v>
      </c>
      <c r="J56">
        <v>1053.3475000000001</v>
      </c>
      <c r="K56">
        <v>1</v>
      </c>
      <c r="L56">
        <v>1</v>
      </c>
      <c r="M56">
        <v>1</v>
      </c>
      <c r="O56">
        <v>3</v>
      </c>
      <c r="P56">
        <v>554</v>
      </c>
      <c r="Q56">
        <v>6</v>
      </c>
      <c r="R56">
        <v>1</v>
      </c>
      <c r="S56">
        <v>2989290.3462</v>
      </c>
      <c r="T56">
        <v>60805.405100000004</v>
      </c>
      <c r="U56">
        <v>54000</v>
      </c>
      <c r="V56">
        <v>15.61099468250147</v>
      </c>
      <c r="W56">
        <v>213</v>
      </c>
      <c r="X56">
        <f t="shared" si="0"/>
        <v>9</v>
      </c>
      <c r="Y56" s="2">
        <f t="shared" si="1"/>
        <v>0.54</v>
      </c>
      <c r="Z56">
        <f t="shared" si="2"/>
        <v>11.5344</v>
      </c>
      <c r="AA56">
        <f t="shared" si="3"/>
        <v>865.61634959999992</v>
      </c>
      <c r="AB56">
        <f t="shared" si="4"/>
        <v>0.86561634959999989</v>
      </c>
    </row>
    <row r="57" spans="1:28" ht="12.75" x14ac:dyDescent="0.2">
      <c r="A57">
        <v>7425106</v>
      </c>
      <c r="B57" t="s">
        <v>23</v>
      </c>
      <c r="C57" t="s">
        <v>24</v>
      </c>
      <c r="D57">
        <v>103</v>
      </c>
      <c r="E57" t="s">
        <v>25</v>
      </c>
      <c r="F57">
        <v>3273</v>
      </c>
      <c r="G57" t="s">
        <v>26</v>
      </c>
      <c r="H57" t="s">
        <v>27</v>
      </c>
      <c r="I57" s="1">
        <v>39303</v>
      </c>
      <c r="J57">
        <v>1053.3475000000001</v>
      </c>
      <c r="K57">
        <v>1</v>
      </c>
      <c r="L57">
        <v>1</v>
      </c>
      <c r="M57">
        <v>1</v>
      </c>
      <c r="O57">
        <v>3</v>
      </c>
      <c r="P57">
        <v>554</v>
      </c>
      <c r="Q57">
        <v>6</v>
      </c>
      <c r="R57">
        <v>1</v>
      </c>
      <c r="S57">
        <v>2989290.3462</v>
      </c>
      <c r="T57">
        <v>60805.405100000004</v>
      </c>
      <c r="U57">
        <v>55000</v>
      </c>
      <c r="V57">
        <v>70.974427558090312</v>
      </c>
      <c r="W57">
        <v>206</v>
      </c>
      <c r="X57">
        <f t="shared" si="0"/>
        <v>7</v>
      </c>
      <c r="Y57" s="2">
        <f t="shared" si="1"/>
        <v>0.55000000000000004</v>
      </c>
      <c r="Z57">
        <f t="shared" si="2"/>
        <v>11.748000000000001</v>
      </c>
      <c r="AA57">
        <f t="shared" si="3"/>
        <v>685.72488600000008</v>
      </c>
      <c r="AB57">
        <f t="shared" si="4"/>
        <v>0.68572488600000003</v>
      </c>
    </row>
    <row r="58" spans="1:28" ht="12.75" x14ac:dyDescent="0.2">
      <c r="A58">
        <v>7425106</v>
      </c>
      <c r="B58" t="s">
        <v>23</v>
      </c>
      <c r="C58" t="s">
        <v>24</v>
      </c>
      <c r="D58">
        <v>103</v>
      </c>
      <c r="E58" t="s">
        <v>25</v>
      </c>
      <c r="F58">
        <v>3273</v>
      </c>
      <c r="G58" t="s">
        <v>26</v>
      </c>
      <c r="H58" t="s">
        <v>27</v>
      </c>
      <c r="I58" s="1">
        <v>39303</v>
      </c>
      <c r="J58">
        <v>1053.3475000000001</v>
      </c>
      <c r="K58">
        <v>1</v>
      </c>
      <c r="L58">
        <v>1</v>
      </c>
      <c r="M58">
        <v>1</v>
      </c>
      <c r="O58">
        <v>3</v>
      </c>
      <c r="P58">
        <v>554</v>
      </c>
      <c r="Q58">
        <v>6</v>
      </c>
      <c r="R58">
        <v>1</v>
      </c>
      <c r="S58">
        <v>2989290.3462</v>
      </c>
      <c r="T58">
        <v>60805.405100000004</v>
      </c>
      <c r="U58">
        <v>56000</v>
      </c>
      <c r="V58">
        <v>12.30871347747677</v>
      </c>
      <c r="W58">
        <f>(W57+W59)/2</f>
        <v>204.5</v>
      </c>
      <c r="X58">
        <f t="shared" si="0"/>
        <v>1.5</v>
      </c>
      <c r="Y58" s="2">
        <f t="shared" si="1"/>
        <v>0.56000000000000005</v>
      </c>
      <c r="Z58">
        <f t="shared" si="2"/>
        <v>11.961600000000001</v>
      </c>
      <c r="AA58">
        <f t="shared" si="3"/>
        <v>149.61270240000002</v>
      </c>
      <c r="AB58">
        <f t="shared" si="4"/>
        <v>0.14961270240000002</v>
      </c>
    </row>
    <row r="59" spans="1:28" ht="12.75" x14ac:dyDescent="0.2">
      <c r="A59">
        <v>7425106</v>
      </c>
      <c r="B59" t="s">
        <v>23</v>
      </c>
      <c r="C59" t="s">
        <v>24</v>
      </c>
      <c r="D59">
        <v>103</v>
      </c>
      <c r="E59" t="s">
        <v>25</v>
      </c>
      <c r="F59">
        <v>3273</v>
      </c>
      <c r="G59" t="s">
        <v>26</v>
      </c>
      <c r="H59" t="s">
        <v>27</v>
      </c>
      <c r="I59" s="1">
        <v>39303</v>
      </c>
      <c r="J59">
        <v>1053.3475000000001</v>
      </c>
      <c r="K59">
        <v>1</v>
      </c>
      <c r="L59">
        <v>1</v>
      </c>
      <c r="M59">
        <v>1</v>
      </c>
      <c r="O59">
        <v>3</v>
      </c>
      <c r="P59">
        <v>554</v>
      </c>
      <c r="Q59">
        <v>6</v>
      </c>
      <c r="R59">
        <v>1</v>
      </c>
      <c r="S59">
        <v>2989290.3462</v>
      </c>
      <c r="T59">
        <v>60805.405100000004</v>
      </c>
      <c r="U59">
        <v>57000</v>
      </c>
      <c r="V59">
        <v>312.04919607622787</v>
      </c>
      <c r="W59">
        <v>203</v>
      </c>
      <c r="X59">
        <f t="shared" si="0"/>
        <v>1.5</v>
      </c>
      <c r="Y59" s="2">
        <f t="shared" si="1"/>
        <v>0.56999999999999995</v>
      </c>
      <c r="Z59">
        <f t="shared" si="2"/>
        <v>12.175199999999998</v>
      </c>
      <c r="AA59">
        <f t="shared" si="3"/>
        <v>152.28435780000001</v>
      </c>
      <c r="AB59">
        <f t="shared" si="4"/>
        <v>0.15228435780000002</v>
      </c>
    </row>
    <row r="60" spans="1:28" ht="12.75" x14ac:dyDescent="0.2">
      <c r="A60">
        <v>7425106</v>
      </c>
      <c r="B60" t="s">
        <v>23</v>
      </c>
      <c r="C60" t="s">
        <v>24</v>
      </c>
      <c r="D60">
        <v>103</v>
      </c>
      <c r="E60" t="s">
        <v>25</v>
      </c>
      <c r="F60">
        <v>3273</v>
      </c>
      <c r="G60" t="s">
        <v>26</v>
      </c>
      <c r="H60" t="s">
        <v>27</v>
      </c>
      <c r="I60" s="1">
        <v>39303</v>
      </c>
      <c r="J60">
        <v>1053.3475000000001</v>
      </c>
      <c r="K60">
        <v>1</v>
      </c>
      <c r="L60">
        <v>1</v>
      </c>
      <c r="M60">
        <v>1</v>
      </c>
      <c r="O60">
        <v>3</v>
      </c>
      <c r="P60">
        <v>554</v>
      </c>
      <c r="Q60">
        <v>6</v>
      </c>
      <c r="R60">
        <v>1</v>
      </c>
      <c r="S60">
        <v>2989290.3462</v>
      </c>
      <c r="T60">
        <v>60805.405100000004</v>
      </c>
      <c r="U60">
        <v>58000</v>
      </c>
      <c r="V60">
        <v>42.184483322382533</v>
      </c>
      <c r="W60">
        <v>200</v>
      </c>
      <c r="X60">
        <f t="shared" si="0"/>
        <v>3</v>
      </c>
      <c r="Y60" s="2">
        <f t="shared" si="1"/>
        <v>0.57999999999999996</v>
      </c>
      <c r="Z60">
        <f t="shared" si="2"/>
        <v>12.388799999999998</v>
      </c>
      <c r="AA60">
        <f t="shared" si="3"/>
        <v>309.91202639999995</v>
      </c>
      <c r="AB60">
        <f t="shared" si="4"/>
        <v>0.30991202639999993</v>
      </c>
    </row>
    <row r="61" spans="1:28" ht="12.75" x14ac:dyDescent="0.2">
      <c r="A61">
        <v>7425106</v>
      </c>
      <c r="B61" t="s">
        <v>23</v>
      </c>
      <c r="C61" t="s">
        <v>24</v>
      </c>
      <c r="D61">
        <v>103</v>
      </c>
      <c r="E61" t="s">
        <v>25</v>
      </c>
      <c r="F61">
        <v>3273</v>
      </c>
      <c r="G61" t="s">
        <v>26</v>
      </c>
      <c r="H61" t="s">
        <v>27</v>
      </c>
      <c r="I61" s="1">
        <v>39303</v>
      </c>
      <c r="J61">
        <v>1053.3475000000001</v>
      </c>
      <c r="K61">
        <v>1</v>
      </c>
      <c r="L61">
        <v>1</v>
      </c>
      <c r="M61">
        <v>1</v>
      </c>
      <c r="O61">
        <v>3</v>
      </c>
      <c r="P61">
        <v>554</v>
      </c>
      <c r="Q61">
        <v>6</v>
      </c>
      <c r="R61">
        <v>1</v>
      </c>
      <c r="S61">
        <v>2989290.3462</v>
      </c>
      <c r="T61">
        <v>60805.405100000004</v>
      </c>
      <c r="U61">
        <v>59000</v>
      </c>
      <c r="V61">
        <v>32.470127917863593</v>
      </c>
      <c r="W61">
        <v>194</v>
      </c>
      <c r="X61">
        <f t="shared" si="0"/>
        <v>6</v>
      </c>
      <c r="Y61" s="2">
        <f t="shared" si="1"/>
        <v>0.59</v>
      </c>
      <c r="Z61">
        <f t="shared" si="2"/>
        <v>12.602399999999999</v>
      </c>
      <c r="AA61">
        <f t="shared" si="3"/>
        <v>630.51067439999986</v>
      </c>
      <c r="AB61">
        <f t="shared" si="4"/>
        <v>0.63051067439999986</v>
      </c>
    </row>
    <row r="62" spans="1:28" ht="12.75" x14ac:dyDescent="0.2">
      <c r="A62">
        <v>7425106</v>
      </c>
      <c r="B62" t="s">
        <v>23</v>
      </c>
      <c r="C62" t="s">
        <v>24</v>
      </c>
      <c r="D62">
        <v>103</v>
      </c>
      <c r="E62" t="s">
        <v>25</v>
      </c>
      <c r="F62">
        <v>3273</v>
      </c>
      <c r="G62" t="s">
        <v>26</v>
      </c>
      <c r="H62" t="s">
        <v>27</v>
      </c>
      <c r="I62" s="1">
        <v>39303</v>
      </c>
      <c r="J62">
        <v>1053.3475000000001</v>
      </c>
      <c r="K62">
        <v>1</v>
      </c>
      <c r="L62">
        <v>1</v>
      </c>
      <c r="M62">
        <v>1</v>
      </c>
      <c r="O62">
        <v>3</v>
      </c>
      <c r="P62">
        <v>554</v>
      </c>
      <c r="Q62">
        <v>6</v>
      </c>
      <c r="R62">
        <v>1</v>
      </c>
      <c r="S62">
        <v>2989290.3462</v>
      </c>
      <c r="T62">
        <v>60805.405100000004</v>
      </c>
      <c r="U62">
        <v>60000</v>
      </c>
      <c r="V62">
        <v>1.7904798901183421</v>
      </c>
      <c r="W62">
        <v>190</v>
      </c>
      <c r="X62">
        <f t="shared" si="0"/>
        <v>4</v>
      </c>
      <c r="Y62" s="2">
        <f t="shared" si="1"/>
        <v>0.6</v>
      </c>
      <c r="Z62">
        <f t="shared" si="2"/>
        <v>12.815999999999999</v>
      </c>
      <c r="AA62">
        <f t="shared" si="3"/>
        <v>427.46486399999992</v>
      </c>
      <c r="AB62">
        <f t="shared" si="4"/>
        <v>0.42746486399999994</v>
      </c>
    </row>
    <row r="63" spans="1:28" ht="12.75" x14ac:dyDescent="0.2">
      <c r="A63">
        <v>7425106</v>
      </c>
      <c r="B63" t="s">
        <v>23</v>
      </c>
      <c r="C63" t="s">
        <v>24</v>
      </c>
      <c r="D63">
        <v>103</v>
      </c>
      <c r="E63" t="s">
        <v>25</v>
      </c>
      <c r="F63">
        <v>3273</v>
      </c>
      <c r="G63" t="s">
        <v>26</v>
      </c>
      <c r="H63" t="s">
        <v>27</v>
      </c>
      <c r="I63" s="1">
        <v>39303</v>
      </c>
      <c r="J63">
        <v>1053.3475000000001</v>
      </c>
      <c r="K63">
        <v>1</v>
      </c>
      <c r="L63">
        <v>1</v>
      </c>
      <c r="M63">
        <v>1</v>
      </c>
      <c r="O63">
        <v>3</v>
      </c>
      <c r="P63">
        <v>554</v>
      </c>
      <c r="Q63">
        <v>6</v>
      </c>
      <c r="R63">
        <v>1</v>
      </c>
      <c r="S63">
        <v>2989290.3462</v>
      </c>
      <c r="T63">
        <v>60805.405100000004</v>
      </c>
      <c r="U63">
        <v>61000</v>
      </c>
      <c r="V63">
        <v>300.08413257415373</v>
      </c>
      <c r="W63">
        <v>185</v>
      </c>
      <c r="X63">
        <f t="shared" si="0"/>
        <v>5</v>
      </c>
      <c r="Y63" s="2">
        <f t="shared" si="1"/>
        <v>0.61</v>
      </c>
      <c r="Z63">
        <f t="shared" si="2"/>
        <v>13.029599999999999</v>
      </c>
      <c r="AA63">
        <f t="shared" si="3"/>
        <v>543.23659799999996</v>
      </c>
      <c r="AB63">
        <f t="shared" si="4"/>
        <v>0.5432365979999999</v>
      </c>
    </row>
    <row r="64" spans="1:28" ht="12.75" x14ac:dyDescent="0.2">
      <c r="A64">
        <v>7425106</v>
      </c>
      <c r="B64" t="s">
        <v>23</v>
      </c>
      <c r="C64" t="s">
        <v>24</v>
      </c>
      <c r="D64">
        <v>103</v>
      </c>
      <c r="E64" t="s">
        <v>25</v>
      </c>
      <c r="F64">
        <v>3273</v>
      </c>
      <c r="G64" t="s">
        <v>26</v>
      </c>
      <c r="H64" t="s">
        <v>27</v>
      </c>
      <c r="I64" s="1">
        <v>39303</v>
      </c>
      <c r="J64">
        <v>1053.3475000000001</v>
      </c>
      <c r="K64">
        <v>1</v>
      </c>
      <c r="L64">
        <v>1</v>
      </c>
      <c r="M64">
        <v>1</v>
      </c>
      <c r="O64">
        <v>3</v>
      </c>
      <c r="P64">
        <v>554</v>
      </c>
      <c r="Q64">
        <v>6</v>
      </c>
      <c r="R64">
        <v>1</v>
      </c>
      <c r="S64">
        <v>2989290.3462</v>
      </c>
      <c r="T64">
        <v>60805.405100000004</v>
      </c>
      <c r="U64">
        <v>62000</v>
      </c>
      <c r="V64">
        <v>1.9749283926400729</v>
      </c>
      <c r="W64">
        <f>(W63+W65)/2</f>
        <v>181.5</v>
      </c>
      <c r="X64">
        <f t="shared" si="0"/>
        <v>3.5</v>
      </c>
      <c r="Y64" s="2">
        <f t="shared" si="1"/>
        <v>0.62</v>
      </c>
      <c r="Z64">
        <f t="shared" si="2"/>
        <v>13.2432</v>
      </c>
      <c r="AA64">
        <f t="shared" si="3"/>
        <v>386.49948120000005</v>
      </c>
      <c r="AB64">
        <f t="shared" si="4"/>
        <v>0.38649948120000005</v>
      </c>
    </row>
    <row r="65" spans="1:28" ht="12.75" x14ac:dyDescent="0.2">
      <c r="A65">
        <v>7425106</v>
      </c>
      <c r="B65" t="s">
        <v>23</v>
      </c>
      <c r="C65" t="s">
        <v>24</v>
      </c>
      <c r="D65">
        <v>103</v>
      </c>
      <c r="E65" t="s">
        <v>25</v>
      </c>
      <c r="F65">
        <v>3273</v>
      </c>
      <c r="G65" t="s">
        <v>26</v>
      </c>
      <c r="H65" t="s">
        <v>27</v>
      </c>
      <c r="I65" s="1">
        <v>39303</v>
      </c>
      <c r="J65">
        <v>1053.3475000000001</v>
      </c>
      <c r="K65">
        <v>1</v>
      </c>
      <c r="L65">
        <v>1</v>
      </c>
      <c r="M65">
        <v>1</v>
      </c>
      <c r="O65">
        <v>3</v>
      </c>
      <c r="P65">
        <v>554</v>
      </c>
      <c r="Q65">
        <v>6</v>
      </c>
      <c r="R65">
        <v>1</v>
      </c>
      <c r="S65">
        <v>2989290.3462</v>
      </c>
      <c r="T65">
        <v>60805.405100000004</v>
      </c>
      <c r="U65">
        <v>63000</v>
      </c>
      <c r="V65">
        <v>108.121883054866</v>
      </c>
      <c r="W65">
        <v>178</v>
      </c>
      <c r="X65">
        <f t="shared" si="0"/>
        <v>3.5</v>
      </c>
      <c r="Y65" s="2">
        <f t="shared" si="1"/>
        <v>0.63</v>
      </c>
      <c r="Z65">
        <f t="shared" si="2"/>
        <v>13.456799999999999</v>
      </c>
      <c r="AA65">
        <f t="shared" si="3"/>
        <v>392.7333438</v>
      </c>
      <c r="AB65">
        <f t="shared" si="4"/>
        <v>0.39273334380000002</v>
      </c>
    </row>
    <row r="66" spans="1:28" ht="12.75" x14ac:dyDescent="0.2">
      <c r="A66">
        <v>7425106</v>
      </c>
      <c r="B66" t="s">
        <v>23</v>
      </c>
      <c r="C66" t="s">
        <v>24</v>
      </c>
      <c r="D66">
        <v>103</v>
      </c>
      <c r="E66" t="s">
        <v>25</v>
      </c>
      <c r="F66">
        <v>3273</v>
      </c>
      <c r="G66" t="s">
        <v>26</v>
      </c>
      <c r="H66" t="s">
        <v>27</v>
      </c>
      <c r="I66" s="1">
        <v>39303</v>
      </c>
      <c r="J66">
        <v>1053.3475000000001</v>
      </c>
      <c r="K66">
        <v>1</v>
      </c>
      <c r="L66">
        <v>1</v>
      </c>
      <c r="M66">
        <v>1</v>
      </c>
      <c r="O66">
        <v>3</v>
      </c>
      <c r="P66">
        <v>554</v>
      </c>
      <c r="Q66">
        <v>6</v>
      </c>
      <c r="R66">
        <v>1</v>
      </c>
      <c r="S66">
        <v>2989290.3462</v>
      </c>
      <c r="T66">
        <v>60805.405100000004</v>
      </c>
      <c r="U66">
        <v>64000</v>
      </c>
      <c r="V66">
        <v>2.862410162093191</v>
      </c>
      <c r="W66">
        <f>(W65+W67)/2</f>
        <v>177</v>
      </c>
      <c r="X66">
        <f t="shared" si="0"/>
        <v>1</v>
      </c>
      <c r="Y66" s="2">
        <f t="shared" si="1"/>
        <v>0.64</v>
      </c>
      <c r="Z66">
        <f t="shared" si="2"/>
        <v>13.670400000000001</v>
      </c>
      <c r="AA66">
        <f t="shared" si="3"/>
        <v>113.99063040000001</v>
      </c>
      <c r="AB66">
        <f t="shared" si="4"/>
        <v>0.11399063040000001</v>
      </c>
    </row>
    <row r="67" spans="1:28" ht="12.75" x14ac:dyDescent="0.2">
      <c r="A67">
        <v>7425106</v>
      </c>
      <c r="B67" t="s">
        <v>23</v>
      </c>
      <c r="C67" t="s">
        <v>24</v>
      </c>
      <c r="D67">
        <v>103</v>
      </c>
      <c r="E67" t="s">
        <v>25</v>
      </c>
      <c r="F67">
        <v>3273</v>
      </c>
      <c r="G67" t="s">
        <v>26</v>
      </c>
      <c r="H67" t="s">
        <v>27</v>
      </c>
      <c r="I67" s="1">
        <v>39303</v>
      </c>
      <c r="J67">
        <v>1053.3475000000001</v>
      </c>
      <c r="K67">
        <v>1</v>
      </c>
      <c r="L67">
        <v>1</v>
      </c>
      <c r="M67">
        <v>1</v>
      </c>
      <c r="O67">
        <v>3</v>
      </c>
      <c r="P67">
        <v>554</v>
      </c>
      <c r="Q67">
        <v>6</v>
      </c>
      <c r="R67">
        <v>1</v>
      </c>
      <c r="S67">
        <v>2989290.3462</v>
      </c>
      <c r="T67">
        <v>60805.405100000004</v>
      </c>
      <c r="U67">
        <v>65000</v>
      </c>
      <c r="V67">
        <v>288.43494935457869</v>
      </c>
      <c r="W67">
        <v>176</v>
      </c>
      <c r="X67">
        <f t="shared" si="0"/>
        <v>1</v>
      </c>
      <c r="Y67" s="2">
        <f t="shared" si="1"/>
        <v>0.65</v>
      </c>
      <c r="Z67">
        <f t="shared" si="2"/>
        <v>13.884</v>
      </c>
      <c r="AA67">
        <f t="shared" si="3"/>
        <v>115.771734</v>
      </c>
      <c r="AB67">
        <f t="shared" si="4"/>
        <v>0.115771734</v>
      </c>
    </row>
    <row r="68" spans="1:28" ht="12.75" x14ac:dyDescent="0.2">
      <c r="A68">
        <v>7425106</v>
      </c>
      <c r="B68" t="s">
        <v>23</v>
      </c>
      <c r="C68" t="s">
        <v>24</v>
      </c>
      <c r="D68">
        <v>103</v>
      </c>
      <c r="E68" t="s">
        <v>25</v>
      </c>
      <c r="F68">
        <v>3273</v>
      </c>
      <c r="G68" t="s">
        <v>26</v>
      </c>
      <c r="H68" t="s">
        <v>27</v>
      </c>
      <c r="I68" s="1">
        <v>39303</v>
      </c>
      <c r="J68">
        <v>1053.3475000000001</v>
      </c>
      <c r="K68">
        <v>1</v>
      </c>
      <c r="L68">
        <v>1</v>
      </c>
      <c r="M68">
        <v>1</v>
      </c>
      <c r="O68">
        <v>3</v>
      </c>
      <c r="P68">
        <v>554</v>
      </c>
      <c r="Q68">
        <v>6</v>
      </c>
      <c r="R68">
        <v>1</v>
      </c>
      <c r="S68">
        <v>2989290.3462</v>
      </c>
      <c r="T68">
        <v>60805.405100000004</v>
      </c>
      <c r="U68">
        <v>66000</v>
      </c>
      <c r="V68">
        <v>258.0010792282967</v>
      </c>
      <c r="W68">
        <v>170</v>
      </c>
      <c r="X68">
        <f t="shared" ref="X68:X102" si="5">W67-W68</f>
        <v>6</v>
      </c>
      <c r="Y68" s="2">
        <f t="shared" ref="Y68:Y102" si="6">U68/$U$102</f>
        <v>0.66</v>
      </c>
      <c r="Z68">
        <f t="shared" ref="Z68:Z102" si="7">21.36 *Y68</f>
        <v>14.0976</v>
      </c>
      <c r="AA68">
        <f t="shared" ref="AA68:AA102" si="8">1000*Z68*X68*0.85*9.81/1000</f>
        <v>705.31702560000019</v>
      </c>
      <c r="AB68">
        <f t="shared" ref="AB68:AB102" si="9">AA68/1000</f>
        <v>0.7053170256000002</v>
      </c>
    </row>
    <row r="69" spans="1:28" ht="12.75" x14ac:dyDescent="0.2">
      <c r="A69">
        <v>7425106</v>
      </c>
      <c r="B69" t="s">
        <v>23</v>
      </c>
      <c r="C69" t="s">
        <v>24</v>
      </c>
      <c r="D69">
        <v>103</v>
      </c>
      <c r="E69" t="s">
        <v>25</v>
      </c>
      <c r="F69">
        <v>3273</v>
      </c>
      <c r="G69" t="s">
        <v>26</v>
      </c>
      <c r="H69" t="s">
        <v>27</v>
      </c>
      <c r="I69" s="1">
        <v>39303</v>
      </c>
      <c r="J69">
        <v>1053.3475000000001</v>
      </c>
      <c r="K69">
        <v>1</v>
      </c>
      <c r="L69">
        <v>1</v>
      </c>
      <c r="M69">
        <v>1</v>
      </c>
      <c r="O69">
        <v>3</v>
      </c>
      <c r="P69">
        <v>554</v>
      </c>
      <c r="Q69">
        <v>6</v>
      </c>
      <c r="R69">
        <v>1</v>
      </c>
      <c r="S69">
        <v>2989290.3462</v>
      </c>
      <c r="T69">
        <v>60805.405100000004</v>
      </c>
      <c r="U69">
        <v>67000</v>
      </c>
      <c r="V69">
        <v>10.150962598118641</v>
      </c>
      <c r="W69">
        <v>167</v>
      </c>
      <c r="X69">
        <f t="shared" si="5"/>
        <v>3</v>
      </c>
      <c r="Y69" s="2">
        <f t="shared" si="6"/>
        <v>0.67</v>
      </c>
      <c r="Z69">
        <f t="shared" si="7"/>
        <v>14.311200000000001</v>
      </c>
      <c r="AA69">
        <f t="shared" si="8"/>
        <v>358.00182360000008</v>
      </c>
      <c r="AB69">
        <f t="shared" si="9"/>
        <v>0.3580018236000001</v>
      </c>
    </row>
    <row r="70" spans="1:28" ht="12.75" x14ac:dyDescent="0.2">
      <c r="A70">
        <v>7425106</v>
      </c>
      <c r="B70" t="s">
        <v>23</v>
      </c>
      <c r="C70" t="s">
        <v>24</v>
      </c>
      <c r="D70">
        <v>103</v>
      </c>
      <c r="E70" t="s">
        <v>25</v>
      </c>
      <c r="F70">
        <v>3273</v>
      </c>
      <c r="G70" t="s">
        <v>26</v>
      </c>
      <c r="H70" t="s">
        <v>27</v>
      </c>
      <c r="I70" s="1">
        <v>39303</v>
      </c>
      <c r="J70">
        <v>1053.3475000000001</v>
      </c>
      <c r="K70">
        <v>1</v>
      </c>
      <c r="L70">
        <v>1</v>
      </c>
      <c r="M70">
        <v>1</v>
      </c>
      <c r="O70">
        <v>3</v>
      </c>
      <c r="P70">
        <v>554</v>
      </c>
      <c r="Q70">
        <v>6</v>
      </c>
      <c r="R70">
        <v>1</v>
      </c>
      <c r="S70">
        <v>2989290.3462</v>
      </c>
      <c r="T70">
        <v>60805.405100000004</v>
      </c>
      <c r="U70">
        <v>68000</v>
      </c>
      <c r="V70">
        <v>6.1250539249999996E-6</v>
      </c>
      <c r="W70">
        <f>(W69+W71)/2</f>
        <v>165.5</v>
      </c>
      <c r="X70">
        <f t="shared" si="5"/>
        <v>1.5</v>
      </c>
      <c r="Y70" s="2">
        <f t="shared" si="6"/>
        <v>0.68</v>
      </c>
      <c r="Z70">
        <f t="shared" si="7"/>
        <v>14.524800000000001</v>
      </c>
      <c r="AA70">
        <f t="shared" si="8"/>
        <v>181.6725672</v>
      </c>
      <c r="AB70">
        <f t="shared" si="9"/>
        <v>0.1816725672</v>
      </c>
    </row>
    <row r="71" spans="1:28" ht="12.75" x14ac:dyDescent="0.2">
      <c r="A71">
        <v>7425106</v>
      </c>
      <c r="B71" t="s">
        <v>23</v>
      </c>
      <c r="C71" t="s">
        <v>24</v>
      </c>
      <c r="D71">
        <v>103</v>
      </c>
      <c r="E71" t="s">
        <v>25</v>
      </c>
      <c r="F71">
        <v>3273</v>
      </c>
      <c r="G71" t="s">
        <v>26</v>
      </c>
      <c r="H71" t="s">
        <v>27</v>
      </c>
      <c r="I71" s="1">
        <v>39303</v>
      </c>
      <c r="J71">
        <v>1053.3475000000001</v>
      </c>
      <c r="K71">
        <v>1</v>
      </c>
      <c r="L71">
        <v>1</v>
      </c>
      <c r="M71">
        <v>1</v>
      </c>
      <c r="O71">
        <v>3</v>
      </c>
      <c r="P71">
        <v>554</v>
      </c>
      <c r="Q71">
        <v>6</v>
      </c>
      <c r="R71">
        <v>1</v>
      </c>
      <c r="S71">
        <v>2989290.3462</v>
      </c>
      <c r="T71">
        <v>60805.405100000004</v>
      </c>
      <c r="U71">
        <v>69000</v>
      </c>
      <c r="V71">
        <v>71.646923455286071</v>
      </c>
      <c r="W71">
        <v>164</v>
      </c>
      <c r="X71">
        <f t="shared" si="5"/>
        <v>1.5</v>
      </c>
      <c r="Y71" s="2">
        <f t="shared" si="6"/>
        <v>0.69</v>
      </c>
      <c r="Z71">
        <f t="shared" si="7"/>
        <v>14.738399999999999</v>
      </c>
      <c r="AA71">
        <f t="shared" si="8"/>
        <v>184.34422259999999</v>
      </c>
      <c r="AB71">
        <f t="shared" si="9"/>
        <v>0.1843442226</v>
      </c>
    </row>
    <row r="72" spans="1:28" ht="12.75" x14ac:dyDescent="0.2">
      <c r="A72">
        <v>7425106</v>
      </c>
      <c r="B72" t="s">
        <v>23</v>
      </c>
      <c r="C72" t="s">
        <v>24</v>
      </c>
      <c r="D72">
        <v>103</v>
      </c>
      <c r="E72" t="s">
        <v>25</v>
      </c>
      <c r="F72">
        <v>3273</v>
      </c>
      <c r="G72" t="s">
        <v>26</v>
      </c>
      <c r="H72" t="s">
        <v>27</v>
      </c>
      <c r="I72" s="1">
        <v>39303</v>
      </c>
      <c r="J72">
        <v>1053.3475000000001</v>
      </c>
      <c r="K72">
        <v>1</v>
      </c>
      <c r="L72">
        <v>1</v>
      </c>
      <c r="M72">
        <v>1</v>
      </c>
      <c r="O72">
        <v>3</v>
      </c>
      <c r="P72">
        <v>554</v>
      </c>
      <c r="Q72">
        <v>6</v>
      </c>
      <c r="R72">
        <v>1</v>
      </c>
      <c r="S72">
        <v>2989290.3462</v>
      </c>
      <c r="T72">
        <v>60805.405100000004</v>
      </c>
      <c r="U72">
        <v>70000</v>
      </c>
      <c r="V72">
        <v>145.08060413721731</v>
      </c>
      <c r="W72">
        <v>163</v>
      </c>
      <c r="X72">
        <f t="shared" si="5"/>
        <v>1</v>
      </c>
      <c r="Y72" s="2">
        <f t="shared" si="6"/>
        <v>0.7</v>
      </c>
      <c r="Z72">
        <f t="shared" si="7"/>
        <v>14.951999999999998</v>
      </c>
      <c r="AA72">
        <f t="shared" si="8"/>
        <v>124.677252</v>
      </c>
      <c r="AB72">
        <f t="shared" si="9"/>
        <v>0.124677252</v>
      </c>
    </row>
    <row r="73" spans="1:28" ht="12.75" x14ac:dyDescent="0.2">
      <c r="A73">
        <v>7425106</v>
      </c>
      <c r="B73" t="s">
        <v>23</v>
      </c>
      <c r="C73" t="s">
        <v>24</v>
      </c>
      <c r="D73">
        <v>103</v>
      </c>
      <c r="E73" t="s">
        <v>25</v>
      </c>
      <c r="F73">
        <v>3273</v>
      </c>
      <c r="G73" t="s">
        <v>26</v>
      </c>
      <c r="H73" t="s">
        <v>27</v>
      </c>
      <c r="I73" s="1">
        <v>39303</v>
      </c>
      <c r="J73">
        <v>1053.3475000000001</v>
      </c>
      <c r="K73">
        <v>1</v>
      </c>
      <c r="L73">
        <v>1</v>
      </c>
      <c r="M73">
        <v>1</v>
      </c>
      <c r="O73">
        <v>3</v>
      </c>
      <c r="P73">
        <v>554</v>
      </c>
      <c r="Q73">
        <v>6</v>
      </c>
      <c r="R73">
        <v>1</v>
      </c>
      <c r="S73">
        <v>2989290.3462</v>
      </c>
      <c r="T73">
        <v>60805.405100000004</v>
      </c>
      <c r="U73">
        <v>71000</v>
      </c>
      <c r="V73">
        <v>84.122597793792352</v>
      </c>
      <c r="W73">
        <f>(W72+W74)/2</f>
        <v>157.5</v>
      </c>
      <c r="X73">
        <f t="shared" si="5"/>
        <v>5.5</v>
      </c>
      <c r="Y73" s="2">
        <f t="shared" si="6"/>
        <v>0.71</v>
      </c>
      <c r="Z73">
        <f t="shared" si="7"/>
        <v>15.1656</v>
      </c>
      <c r="AA73">
        <f t="shared" si="8"/>
        <v>695.52095580000014</v>
      </c>
      <c r="AB73">
        <f t="shared" si="9"/>
        <v>0.69552095580000017</v>
      </c>
    </row>
    <row r="74" spans="1:28" ht="12.75" x14ac:dyDescent="0.2">
      <c r="A74">
        <v>7425106</v>
      </c>
      <c r="B74" t="s">
        <v>23</v>
      </c>
      <c r="C74" t="s">
        <v>24</v>
      </c>
      <c r="D74">
        <v>103</v>
      </c>
      <c r="E74" t="s">
        <v>25</v>
      </c>
      <c r="F74">
        <v>3273</v>
      </c>
      <c r="G74" t="s">
        <v>26</v>
      </c>
      <c r="H74" t="s">
        <v>27</v>
      </c>
      <c r="I74" s="1">
        <v>39303</v>
      </c>
      <c r="J74">
        <v>1053.3475000000001</v>
      </c>
      <c r="K74">
        <v>1</v>
      </c>
      <c r="L74">
        <v>1</v>
      </c>
      <c r="M74">
        <v>1</v>
      </c>
      <c r="O74">
        <v>3</v>
      </c>
      <c r="P74">
        <v>554</v>
      </c>
      <c r="Q74">
        <v>6</v>
      </c>
      <c r="R74">
        <v>1</v>
      </c>
      <c r="S74">
        <v>2989290.3462</v>
      </c>
      <c r="T74">
        <v>60805.405100000004</v>
      </c>
      <c r="U74">
        <v>72000</v>
      </c>
      <c r="V74">
        <v>156.21102727316659</v>
      </c>
      <c r="W74">
        <v>152</v>
      </c>
      <c r="X74">
        <f t="shared" si="5"/>
        <v>5.5</v>
      </c>
      <c r="Y74" s="2">
        <f t="shared" si="6"/>
        <v>0.72</v>
      </c>
      <c r="Z74">
        <f t="shared" si="7"/>
        <v>15.379199999999999</v>
      </c>
      <c r="AA74">
        <f t="shared" si="8"/>
        <v>705.31702559999997</v>
      </c>
      <c r="AB74">
        <f t="shared" si="9"/>
        <v>0.70531702559999998</v>
      </c>
    </row>
    <row r="75" spans="1:28" ht="12.75" x14ac:dyDescent="0.2">
      <c r="A75">
        <v>7425106</v>
      </c>
      <c r="B75" t="s">
        <v>23</v>
      </c>
      <c r="C75" t="s">
        <v>24</v>
      </c>
      <c r="D75">
        <v>103</v>
      </c>
      <c r="E75" t="s">
        <v>25</v>
      </c>
      <c r="F75">
        <v>3273</v>
      </c>
      <c r="G75" t="s">
        <v>26</v>
      </c>
      <c r="H75" t="s">
        <v>27</v>
      </c>
      <c r="I75" s="1">
        <v>39303</v>
      </c>
      <c r="J75">
        <v>1053.3475000000001</v>
      </c>
      <c r="K75">
        <v>1</v>
      </c>
      <c r="L75">
        <v>1</v>
      </c>
      <c r="M75">
        <v>1</v>
      </c>
      <c r="O75">
        <v>3</v>
      </c>
      <c r="P75">
        <v>554</v>
      </c>
      <c r="Q75">
        <v>6</v>
      </c>
      <c r="R75">
        <v>1</v>
      </c>
      <c r="S75">
        <v>2989290.3462</v>
      </c>
      <c r="T75">
        <v>60805.405100000004</v>
      </c>
      <c r="U75">
        <v>73000</v>
      </c>
      <c r="V75">
        <v>108.6779647894337</v>
      </c>
      <c r="W75">
        <f>(W74+W76)/2</f>
        <v>152</v>
      </c>
      <c r="X75">
        <f t="shared" si="5"/>
        <v>0</v>
      </c>
      <c r="Y75" s="2">
        <f t="shared" si="6"/>
        <v>0.73</v>
      </c>
      <c r="Z75">
        <f t="shared" si="7"/>
        <v>15.592799999999999</v>
      </c>
      <c r="AA75">
        <f t="shared" si="8"/>
        <v>0</v>
      </c>
      <c r="AB75">
        <f t="shared" si="9"/>
        <v>0</v>
      </c>
    </row>
    <row r="76" spans="1:28" ht="12.75" x14ac:dyDescent="0.2">
      <c r="A76">
        <v>7425106</v>
      </c>
      <c r="B76" t="s">
        <v>23</v>
      </c>
      <c r="C76" t="s">
        <v>24</v>
      </c>
      <c r="D76">
        <v>103</v>
      </c>
      <c r="E76" t="s">
        <v>25</v>
      </c>
      <c r="F76">
        <v>3273</v>
      </c>
      <c r="G76" t="s">
        <v>26</v>
      </c>
      <c r="H76" t="s">
        <v>27</v>
      </c>
      <c r="I76" s="1">
        <v>39303</v>
      </c>
      <c r="J76">
        <v>1053.3475000000001</v>
      </c>
      <c r="K76">
        <v>1</v>
      </c>
      <c r="L76">
        <v>1</v>
      </c>
      <c r="M76">
        <v>1</v>
      </c>
      <c r="O76">
        <v>3</v>
      </c>
      <c r="P76">
        <v>554</v>
      </c>
      <c r="Q76">
        <v>6</v>
      </c>
      <c r="R76">
        <v>1</v>
      </c>
      <c r="S76">
        <v>2989290.3462</v>
      </c>
      <c r="T76">
        <v>60805.405100000004</v>
      </c>
      <c r="U76">
        <v>74000</v>
      </c>
      <c r="V76">
        <v>124.4389961161726</v>
      </c>
      <c r="W76">
        <v>152</v>
      </c>
      <c r="X76">
        <f t="shared" si="5"/>
        <v>0</v>
      </c>
      <c r="Y76" s="2">
        <f t="shared" si="6"/>
        <v>0.74</v>
      </c>
      <c r="Z76">
        <f t="shared" si="7"/>
        <v>15.8064</v>
      </c>
      <c r="AA76">
        <f t="shared" si="8"/>
        <v>0</v>
      </c>
      <c r="AB76">
        <f t="shared" si="9"/>
        <v>0</v>
      </c>
    </row>
    <row r="77" spans="1:28" ht="12.75" x14ac:dyDescent="0.2">
      <c r="A77">
        <v>7425106</v>
      </c>
      <c r="B77" t="s">
        <v>23</v>
      </c>
      <c r="C77" t="s">
        <v>24</v>
      </c>
      <c r="D77">
        <v>103</v>
      </c>
      <c r="E77" t="s">
        <v>25</v>
      </c>
      <c r="F77">
        <v>3273</v>
      </c>
      <c r="G77" t="s">
        <v>26</v>
      </c>
      <c r="H77" t="s">
        <v>27</v>
      </c>
      <c r="I77" s="1">
        <v>39303</v>
      </c>
      <c r="J77">
        <v>1053.3475000000001</v>
      </c>
      <c r="K77">
        <v>1</v>
      </c>
      <c r="L77">
        <v>1</v>
      </c>
      <c r="M77">
        <v>1</v>
      </c>
      <c r="O77">
        <v>3</v>
      </c>
      <c r="P77">
        <v>554</v>
      </c>
      <c r="Q77">
        <v>6</v>
      </c>
      <c r="R77">
        <v>1</v>
      </c>
      <c r="S77">
        <v>2989290.3462</v>
      </c>
      <c r="T77">
        <v>60805.405100000004</v>
      </c>
      <c r="U77">
        <v>75000</v>
      </c>
      <c r="V77">
        <v>59.995067214857137</v>
      </c>
      <c r="W77">
        <f>(W76+W78)/2</f>
        <v>151</v>
      </c>
      <c r="X77">
        <f t="shared" si="5"/>
        <v>1</v>
      </c>
      <c r="Y77" s="2">
        <f t="shared" si="6"/>
        <v>0.75</v>
      </c>
      <c r="Z77">
        <f t="shared" si="7"/>
        <v>16.02</v>
      </c>
      <c r="AA77">
        <f t="shared" si="8"/>
        <v>133.58277000000001</v>
      </c>
      <c r="AB77">
        <f t="shared" si="9"/>
        <v>0.13358277000000002</v>
      </c>
    </row>
    <row r="78" spans="1:28" ht="12.75" x14ac:dyDescent="0.2">
      <c r="A78">
        <v>7425106</v>
      </c>
      <c r="B78" t="s">
        <v>23</v>
      </c>
      <c r="C78" t="s">
        <v>24</v>
      </c>
      <c r="D78">
        <v>103</v>
      </c>
      <c r="E78" t="s">
        <v>25</v>
      </c>
      <c r="F78">
        <v>3273</v>
      </c>
      <c r="G78" t="s">
        <v>26</v>
      </c>
      <c r="H78" t="s">
        <v>27</v>
      </c>
      <c r="I78" s="1">
        <v>39303</v>
      </c>
      <c r="J78">
        <v>1053.3475000000001</v>
      </c>
      <c r="K78">
        <v>1</v>
      </c>
      <c r="L78">
        <v>1</v>
      </c>
      <c r="M78">
        <v>1</v>
      </c>
      <c r="O78">
        <v>3</v>
      </c>
      <c r="P78">
        <v>554</v>
      </c>
      <c r="Q78">
        <v>6</v>
      </c>
      <c r="R78">
        <v>1</v>
      </c>
      <c r="S78">
        <v>2989290.3462</v>
      </c>
      <c r="T78">
        <v>60805.405100000004</v>
      </c>
      <c r="U78">
        <v>76000</v>
      </c>
      <c r="V78">
        <v>349.52039589876091</v>
      </c>
      <c r="W78">
        <v>150</v>
      </c>
      <c r="X78">
        <f t="shared" si="5"/>
        <v>1</v>
      </c>
      <c r="Y78" s="2">
        <f t="shared" si="6"/>
        <v>0.76</v>
      </c>
      <c r="Z78">
        <f t="shared" si="7"/>
        <v>16.233599999999999</v>
      </c>
      <c r="AA78">
        <f t="shared" si="8"/>
        <v>135.36387360000001</v>
      </c>
      <c r="AB78">
        <f t="shared" si="9"/>
        <v>0.13536387360000002</v>
      </c>
    </row>
    <row r="79" spans="1:28" ht="12.75" x14ac:dyDescent="0.2">
      <c r="A79">
        <v>7425106</v>
      </c>
      <c r="B79" t="s">
        <v>23</v>
      </c>
      <c r="C79" t="s">
        <v>24</v>
      </c>
      <c r="D79">
        <v>103</v>
      </c>
      <c r="E79" t="s">
        <v>25</v>
      </c>
      <c r="F79">
        <v>3273</v>
      </c>
      <c r="G79" t="s">
        <v>26</v>
      </c>
      <c r="H79" t="s">
        <v>27</v>
      </c>
      <c r="I79" s="1">
        <v>39303</v>
      </c>
      <c r="J79">
        <v>1053.3475000000001</v>
      </c>
      <c r="K79">
        <v>1</v>
      </c>
      <c r="L79">
        <v>1</v>
      </c>
      <c r="M79">
        <v>1</v>
      </c>
      <c r="O79">
        <v>3</v>
      </c>
      <c r="P79">
        <v>554</v>
      </c>
      <c r="Q79">
        <v>6</v>
      </c>
      <c r="R79">
        <v>1</v>
      </c>
      <c r="S79">
        <v>2989290.3462</v>
      </c>
      <c r="T79">
        <v>60805.405100000004</v>
      </c>
      <c r="U79">
        <v>77000</v>
      </c>
      <c r="V79">
        <v>123.1785068244337</v>
      </c>
      <c r="W79">
        <v>141</v>
      </c>
      <c r="X79">
        <f t="shared" si="5"/>
        <v>9</v>
      </c>
      <c r="Y79" s="2">
        <f t="shared" si="6"/>
        <v>0.77</v>
      </c>
      <c r="Z79">
        <f t="shared" si="7"/>
        <v>16.447199999999999</v>
      </c>
      <c r="AA79">
        <f t="shared" si="8"/>
        <v>1234.3047948000001</v>
      </c>
      <c r="AB79">
        <f t="shared" si="9"/>
        <v>1.2343047948000001</v>
      </c>
    </row>
    <row r="80" spans="1:28" ht="12.75" x14ac:dyDescent="0.2">
      <c r="A80">
        <v>7425106</v>
      </c>
      <c r="B80" t="s">
        <v>23</v>
      </c>
      <c r="C80" t="s">
        <v>24</v>
      </c>
      <c r="D80">
        <v>103</v>
      </c>
      <c r="E80" t="s">
        <v>25</v>
      </c>
      <c r="F80">
        <v>3273</v>
      </c>
      <c r="G80" t="s">
        <v>26</v>
      </c>
      <c r="H80" t="s">
        <v>27</v>
      </c>
      <c r="I80" s="1">
        <v>39303</v>
      </c>
      <c r="J80">
        <v>1053.3475000000001</v>
      </c>
      <c r="K80">
        <v>1</v>
      </c>
      <c r="L80">
        <v>1</v>
      </c>
      <c r="M80">
        <v>1</v>
      </c>
      <c r="O80">
        <v>3</v>
      </c>
      <c r="P80">
        <v>554</v>
      </c>
      <c r="Q80">
        <v>6</v>
      </c>
      <c r="R80">
        <v>1</v>
      </c>
      <c r="S80">
        <v>2989290.3462</v>
      </c>
      <c r="T80">
        <v>60805.405100000004</v>
      </c>
      <c r="U80">
        <v>78000</v>
      </c>
      <c r="V80">
        <v>305.71441092993763</v>
      </c>
      <c r="W80">
        <v>136</v>
      </c>
      <c r="X80">
        <f t="shared" si="5"/>
        <v>5</v>
      </c>
      <c r="Y80" s="2">
        <f t="shared" si="6"/>
        <v>0.78</v>
      </c>
      <c r="Z80">
        <f t="shared" si="7"/>
        <v>16.660800000000002</v>
      </c>
      <c r="AA80">
        <f t="shared" si="8"/>
        <v>694.63040400000011</v>
      </c>
      <c r="AB80">
        <f t="shared" si="9"/>
        <v>0.69463040400000009</v>
      </c>
    </row>
    <row r="81" spans="1:28" ht="12.75" x14ac:dyDescent="0.2">
      <c r="A81">
        <v>7425106</v>
      </c>
      <c r="B81" t="s">
        <v>23</v>
      </c>
      <c r="C81" t="s">
        <v>24</v>
      </c>
      <c r="D81">
        <v>103</v>
      </c>
      <c r="E81" t="s">
        <v>25</v>
      </c>
      <c r="F81">
        <v>3273</v>
      </c>
      <c r="G81" t="s">
        <v>26</v>
      </c>
      <c r="H81" t="s">
        <v>27</v>
      </c>
      <c r="I81" s="1">
        <v>39303</v>
      </c>
      <c r="J81">
        <v>1053.3475000000001</v>
      </c>
      <c r="K81">
        <v>1</v>
      </c>
      <c r="L81">
        <v>1</v>
      </c>
      <c r="M81">
        <v>1</v>
      </c>
      <c r="O81">
        <v>3</v>
      </c>
      <c r="P81">
        <v>554</v>
      </c>
      <c r="Q81">
        <v>6</v>
      </c>
      <c r="R81">
        <v>1</v>
      </c>
      <c r="S81">
        <v>2989290.3462</v>
      </c>
      <c r="T81">
        <v>60805.405100000004</v>
      </c>
      <c r="U81">
        <v>79000</v>
      </c>
      <c r="V81">
        <v>53.022395913820127</v>
      </c>
      <c r="W81">
        <f>(W80+W83)/2</f>
        <v>134</v>
      </c>
      <c r="X81">
        <f t="shared" si="5"/>
        <v>2</v>
      </c>
      <c r="Y81" s="2">
        <f t="shared" si="6"/>
        <v>0.79</v>
      </c>
      <c r="Z81">
        <f t="shared" si="7"/>
        <v>16.874400000000001</v>
      </c>
      <c r="AA81">
        <f t="shared" si="8"/>
        <v>281.41436880000003</v>
      </c>
      <c r="AB81">
        <f t="shared" si="9"/>
        <v>0.28141436880000004</v>
      </c>
    </row>
    <row r="82" spans="1:28" ht="12.75" x14ac:dyDescent="0.2">
      <c r="A82">
        <v>7425106</v>
      </c>
      <c r="B82" t="s">
        <v>23</v>
      </c>
      <c r="C82" t="s">
        <v>24</v>
      </c>
      <c r="D82">
        <v>103</v>
      </c>
      <c r="E82" t="s">
        <v>25</v>
      </c>
      <c r="F82">
        <v>3273</v>
      </c>
      <c r="G82" t="s">
        <v>26</v>
      </c>
      <c r="H82" t="s">
        <v>27</v>
      </c>
      <c r="I82" s="1">
        <v>39303</v>
      </c>
      <c r="J82">
        <v>1053.3475000000001</v>
      </c>
      <c r="K82">
        <v>1</v>
      </c>
      <c r="L82">
        <v>1</v>
      </c>
      <c r="M82">
        <v>1</v>
      </c>
      <c r="O82">
        <v>3</v>
      </c>
      <c r="P82">
        <v>554</v>
      </c>
      <c r="Q82">
        <v>6</v>
      </c>
      <c r="R82">
        <v>1</v>
      </c>
      <c r="S82">
        <v>2989290.3462</v>
      </c>
      <c r="T82">
        <v>60805.405100000004</v>
      </c>
      <c r="U82">
        <v>80000</v>
      </c>
      <c r="V82">
        <v>23.78202655107609</v>
      </c>
      <c r="W82">
        <f>(W81+W83)/2</f>
        <v>133</v>
      </c>
      <c r="X82">
        <f t="shared" si="5"/>
        <v>1</v>
      </c>
      <c r="Y82" s="2">
        <f t="shared" si="6"/>
        <v>0.8</v>
      </c>
      <c r="Z82">
        <f t="shared" si="7"/>
        <v>17.088000000000001</v>
      </c>
      <c r="AA82">
        <f t="shared" si="8"/>
        <v>142.48828800000001</v>
      </c>
      <c r="AB82">
        <f t="shared" si="9"/>
        <v>0.14248828800000002</v>
      </c>
    </row>
    <row r="83" spans="1:28" ht="12.75" x14ac:dyDescent="0.2">
      <c r="A83">
        <v>7425106</v>
      </c>
      <c r="B83" t="s">
        <v>23</v>
      </c>
      <c r="C83" t="s">
        <v>24</v>
      </c>
      <c r="D83">
        <v>103</v>
      </c>
      <c r="E83" t="s">
        <v>25</v>
      </c>
      <c r="F83">
        <v>3273</v>
      </c>
      <c r="G83" t="s">
        <v>26</v>
      </c>
      <c r="H83" t="s">
        <v>27</v>
      </c>
      <c r="I83" s="1">
        <v>39303</v>
      </c>
      <c r="J83">
        <v>1053.3475000000001</v>
      </c>
      <c r="K83">
        <v>1</v>
      </c>
      <c r="L83">
        <v>1</v>
      </c>
      <c r="M83">
        <v>1</v>
      </c>
      <c r="O83">
        <v>3</v>
      </c>
      <c r="P83">
        <v>554</v>
      </c>
      <c r="Q83">
        <v>6</v>
      </c>
      <c r="R83">
        <v>1</v>
      </c>
      <c r="S83">
        <v>2989290.3462</v>
      </c>
      <c r="T83">
        <v>60805.405100000004</v>
      </c>
      <c r="U83">
        <v>81000</v>
      </c>
      <c r="V83">
        <v>327.52881309377722</v>
      </c>
      <c r="W83">
        <v>132</v>
      </c>
      <c r="X83">
        <f t="shared" si="5"/>
        <v>1</v>
      </c>
      <c r="Y83" s="2">
        <f t="shared" si="6"/>
        <v>0.81</v>
      </c>
      <c r="Z83">
        <f t="shared" si="7"/>
        <v>17.301600000000001</v>
      </c>
      <c r="AA83">
        <f t="shared" si="8"/>
        <v>144.26939160000001</v>
      </c>
      <c r="AB83">
        <f t="shared" si="9"/>
        <v>0.14426939160000002</v>
      </c>
    </row>
    <row r="84" spans="1:28" ht="12.75" x14ac:dyDescent="0.2">
      <c r="A84">
        <v>7425106</v>
      </c>
      <c r="B84" t="s">
        <v>23</v>
      </c>
      <c r="C84" t="s">
        <v>24</v>
      </c>
      <c r="D84">
        <v>103</v>
      </c>
      <c r="E84" t="s">
        <v>25</v>
      </c>
      <c r="F84">
        <v>3273</v>
      </c>
      <c r="G84" t="s">
        <v>26</v>
      </c>
      <c r="H84" t="s">
        <v>27</v>
      </c>
      <c r="I84" s="1">
        <v>39303</v>
      </c>
      <c r="J84">
        <v>1053.3475000000001</v>
      </c>
      <c r="K84">
        <v>1</v>
      </c>
      <c r="L84">
        <v>1</v>
      </c>
      <c r="M84">
        <v>1</v>
      </c>
      <c r="O84">
        <v>3</v>
      </c>
      <c r="P84">
        <v>554</v>
      </c>
      <c r="Q84">
        <v>6</v>
      </c>
      <c r="R84">
        <v>1</v>
      </c>
      <c r="S84">
        <v>2989290.3462</v>
      </c>
      <c r="T84">
        <v>60805.405100000004</v>
      </c>
      <c r="U84">
        <v>82000</v>
      </c>
      <c r="V84">
        <v>7.2969491536690603</v>
      </c>
      <c r="W84">
        <f>(W83+W85)/2</f>
        <v>131.5</v>
      </c>
      <c r="X84">
        <f t="shared" si="5"/>
        <v>0.5</v>
      </c>
      <c r="Y84" s="2">
        <f t="shared" si="6"/>
        <v>0.82</v>
      </c>
      <c r="Z84">
        <f t="shared" si="7"/>
        <v>17.5152</v>
      </c>
      <c r="AA84">
        <f t="shared" si="8"/>
        <v>73.0252476</v>
      </c>
      <c r="AB84">
        <f t="shared" si="9"/>
        <v>7.3025247599999996E-2</v>
      </c>
    </row>
    <row r="85" spans="1:28" ht="12.75" x14ac:dyDescent="0.2">
      <c r="A85">
        <v>7425106</v>
      </c>
      <c r="B85" t="s">
        <v>23</v>
      </c>
      <c r="C85" t="s">
        <v>24</v>
      </c>
      <c r="D85">
        <v>103</v>
      </c>
      <c r="E85" t="s">
        <v>25</v>
      </c>
      <c r="F85">
        <v>3273</v>
      </c>
      <c r="G85" t="s">
        <v>26</v>
      </c>
      <c r="H85" t="s">
        <v>27</v>
      </c>
      <c r="I85" s="1">
        <v>39303</v>
      </c>
      <c r="J85">
        <v>1053.3475000000001</v>
      </c>
      <c r="K85">
        <v>1</v>
      </c>
      <c r="L85">
        <v>1</v>
      </c>
      <c r="M85">
        <v>1</v>
      </c>
      <c r="O85">
        <v>3</v>
      </c>
      <c r="P85">
        <v>554</v>
      </c>
      <c r="Q85">
        <v>6</v>
      </c>
      <c r="R85">
        <v>1</v>
      </c>
      <c r="S85">
        <v>2989290.3462</v>
      </c>
      <c r="T85">
        <v>60805.405100000004</v>
      </c>
      <c r="U85">
        <v>83000</v>
      </c>
      <c r="V85">
        <v>32.621014370166549</v>
      </c>
      <c r="W85">
        <v>131</v>
      </c>
      <c r="X85">
        <f t="shared" si="5"/>
        <v>0.5</v>
      </c>
      <c r="Y85" s="2">
        <f t="shared" si="6"/>
        <v>0.83</v>
      </c>
      <c r="Z85">
        <f t="shared" si="7"/>
        <v>17.7288</v>
      </c>
      <c r="AA85">
        <f t="shared" si="8"/>
        <v>73.915799399999997</v>
      </c>
      <c r="AB85">
        <f t="shared" si="9"/>
        <v>7.3915799399999996E-2</v>
      </c>
    </row>
    <row r="86" spans="1:28" ht="12.75" x14ac:dyDescent="0.2">
      <c r="A86">
        <v>7425106</v>
      </c>
      <c r="B86" t="s">
        <v>23</v>
      </c>
      <c r="C86" t="s">
        <v>24</v>
      </c>
      <c r="D86">
        <v>103</v>
      </c>
      <c r="E86" t="s">
        <v>25</v>
      </c>
      <c r="F86">
        <v>3273</v>
      </c>
      <c r="G86" t="s">
        <v>26</v>
      </c>
      <c r="H86" t="s">
        <v>27</v>
      </c>
      <c r="I86" s="1">
        <v>39303</v>
      </c>
      <c r="J86">
        <v>1053.3475000000001</v>
      </c>
      <c r="K86">
        <v>1</v>
      </c>
      <c r="L86">
        <v>1</v>
      </c>
      <c r="M86">
        <v>1</v>
      </c>
      <c r="O86">
        <v>3</v>
      </c>
      <c r="P86">
        <v>554</v>
      </c>
      <c r="Q86">
        <v>6</v>
      </c>
      <c r="R86">
        <v>1</v>
      </c>
      <c r="S86">
        <v>2989290.3462</v>
      </c>
      <c r="T86">
        <v>60805.405100000004</v>
      </c>
      <c r="U86">
        <v>84000</v>
      </c>
      <c r="V86">
        <v>26.040744722614161</v>
      </c>
      <c r="W86">
        <v>131</v>
      </c>
      <c r="X86">
        <f t="shared" si="5"/>
        <v>0</v>
      </c>
      <c r="Y86" s="2">
        <f t="shared" si="6"/>
        <v>0.84</v>
      </c>
      <c r="Z86">
        <f t="shared" si="7"/>
        <v>17.942399999999999</v>
      </c>
      <c r="AA86">
        <f t="shared" si="8"/>
        <v>0</v>
      </c>
      <c r="AB86">
        <f t="shared" si="9"/>
        <v>0</v>
      </c>
    </row>
    <row r="87" spans="1:28" ht="12.75" x14ac:dyDescent="0.2">
      <c r="A87">
        <v>7425106</v>
      </c>
      <c r="B87" t="s">
        <v>23</v>
      </c>
      <c r="C87" t="s">
        <v>24</v>
      </c>
      <c r="D87">
        <v>103</v>
      </c>
      <c r="E87" t="s">
        <v>25</v>
      </c>
      <c r="F87">
        <v>3273</v>
      </c>
      <c r="G87" t="s">
        <v>26</v>
      </c>
      <c r="H87" t="s">
        <v>27</v>
      </c>
      <c r="I87" s="1">
        <v>39303</v>
      </c>
      <c r="J87">
        <v>1053.3475000000001</v>
      </c>
      <c r="K87">
        <v>1</v>
      </c>
      <c r="L87">
        <v>1</v>
      </c>
      <c r="M87">
        <v>1</v>
      </c>
      <c r="O87">
        <v>3</v>
      </c>
      <c r="P87">
        <v>554</v>
      </c>
      <c r="Q87">
        <v>6</v>
      </c>
      <c r="R87">
        <v>1</v>
      </c>
      <c r="S87">
        <v>2989290.3462</v>
      </c>
      <c r="T87">
        <v>60805.405100000004</v>
      </c>
      <c r="U87">
        <v>85000</v>
      </c>
      <c r="V87">
        <v>93.900463784858118</v>
      </c>
      <c r="W87">
        <v>127</v>
      </c>
      <c r="X87">
        <f t="shared" si="5"/>
        <v>4</v>
      </c>
      <c r="Y87" s="2">
        <f t="shared" si="6"/>
        <v>0.85</v>
      </c>
      <c r="Z87">
        <f t="shared" si="7"/>
        <v>18.155999999999999</v>
      </c>
      <c r="AA87">
        <f t="shared" si="8"/>
        <v>605.57522400000005</v>
      </c>
      <c r="AB87">
        <f t="shared" si="9"/>
        <v>0.60557522400000008</v>
      </c>
    </row>
    <row r="88" spans="1:28" ht="12.75" x14ac:dyDescent="0.2">
      <c r="A88">
        <v>7425106</v>
      </c>
      <c r="B88" t="s">
        <v>23</v>
      </c>
      <c r="C88" t="s">
        <v>24</v>
      </c>
      <c r="D88">
        <v>103</v>
      </c>
      <c r="E88" t="s">
        <v>25</v>
      </c>
      <c r="F88">
        <v>3273</v>
      </c>
      <c r="G88" t="s">
        <v>26</v>
      </c>
      <c r="H88" t="s">
        <v>27</v>
      </c>
      <c r="I88" s="1">
        <v>39303</v>
      </c>
      <c r="J88">
        <v>1053.3475000000001</v>
      </c>
      <c r="K88">
        <v>1</v>
      </c>
      <c r="L88">
        <v>1</v>
      </c>
      <c r="M88">
        <v>1</v>
      </c>
      <c r="O88">
        <v>3</v>
      </c>
      <c r="P88">
        <v>554</v>
      </c>
      <c r="Q88">
        <v>6</v>
      </c>
      <c r="R88">
        <v>1</v>
      </c>
      <c r="S88">
        <v>2989290.3462</v>
      </c>
      <c r="T88">
        <v>60805.405100000004</v>
      </c>
      <c r="U88">
        <v>86000</v>
      </c>
      <c r="V88">
        <v>65.474550055972429</v>
      </c>
      <c r="W88">
        <v>126</v>
      </c>
      <c r="X88">
        <f t="shared" si="5"/>
        <v>1</v>
      </c>
      <c r="Y88" s="2">
        <f t="shared" si="6"/>
        <v>0.86</v>
      </c>
      <c r="Z88">
        <f t="shared" si="7"/>
        <v>18.369599999999998</v>
      </c>
      <c r="AA88">
        <f t="shared" si="8"/>
        <v>153.17490959999998</v>
      </c>
      <c r="AB88">
        <f t="shared" si="9"/>
        <v>0.15317490959999996</v>
      </c>
    </row>
    <row r="89" spans="1:28" ht="12.75" x14ac:dyDescent="0.2">
      <c r="A89">
        <v>7425106</v>
      </c>
      <c r="B89" t="s">
        <v>23</v>
      </c>
      <c r="C89" t="s">
        <v>24</v>
      </c>
      <c r="D89">
        <v>103</v>
      </c>
      <c r="E89" t="s">
        <v>25</v>
      </c>
      <c r="F89">
        <v>3273</v>
      </c>
      <c r="G89" t="s">
        <v>26</v>
      </c>
      <c r="H89" t="s">
        <v>27</v>
      </c>
      <c r="I89" s="1">
        <v>39303</v>
      </c>
      <c r="J89">
        <v>1053.3475000000001</v>
      </c>
      <c r="K89">
        <v>1</v>
      </c>
      <c r="L89">
        <v>1</v>
      </c>
      <c r="M89">
        <v>1</v>
      </c>
      <c r="O89">
        <v>3</v>
      </c>
      <c r="P89">
        <v>554</v>
      </c>
      <c r="Q89">
        <v>6</v>
      </c>
      <c r="R89">
        <v>1</v>
      </c>
      <c r="S89">
        <v>2989290.3462</v>
      </c>
      <c r="T89">
        <v>60805.405100000004</v>
      </c>
      <c r="U89">
        <v>87000</v>
      </c>
      <c r="V89">
        <v>69.075451256359443</v>
      </c>
      <c r="W89">
        <f>(W88+W91)/2</f>
        <v>124.5</v>
      </c>
      <c r="X89">
        <f t="shared" si="5"/>
        <v>1.5</v>
      </c>
      <c r="Y89" s="2">
        <f t="shared" si="6"/>
        <v>0.87</v>
      </c>
      <c r="Z89">
        <f t="shared" si="7"/>
        <v>18.583199999999998</v>
      </c>
      <c r="AA89">
        <f t="shared" si="8"/>
        <v>232.43401979999996</v>
      </c>
      <c r="AB89">
        <f t="shared" si="9"/>
        <v>0.23243401979999995</v>
      </c>
    </row>
    <row r="90" spans="1:28" ht="12.75" x14ac:dyDescent="0.2">
      <c r="A90">
        <v>7425106</v>
      </c>
      <c r="B90" t="s">
        <v>23</v>
      </c>
      <c r="C90" t="s">
        <v>24</v>
      </c>
      <c r="D90">
        <v>103</v>
      </c>
      <c r="E90" t="s">
        <v>25</v>
      </c>
      <c r="F90">
        <v>3273</v>
      </c>
      <c r="G90" t="s">
        <v>26</v>
      </c>
      <c r="H90" t="s">
        <v>27</v>
      </c>
      <c r="I90" s="1">
        <v>39303</v>
      </c>
      <c r="J90">
        <v>1053.3475000000001</v>
      </c>
      <c r="K90">
        <v>1</v>
      </c>
      <c r="L90">
        <v>1</v>
      </c>
      <c r="M90">
        <v>1</v>
      </c>
      <c r="O90">
        <v>3</v>
      </c>
      <c r="P90">
        <v>554</v>
      </c>
      <c r="Q90">
        <v>6</v>
      </c>
      <c r="R90">
        <v>1</v>
      </c>
      <c r="S90">
        <v>2989290.3462</v>
      </c>
      <c r="T90">
        <v>60805.405100000004</v>
      </c>
      <c r="U90">
        <v>88000</v>
      </c>
      <c r="V90">
        <v>42.943351766627828</v>
      </c>
      <c r="W90">
        <f>(W89+W91)/2</f>
        <v>123.75</v>
      </c>
      <c r="X90">
        <f t="shared" si="5"/>
        <v>0.75</v>
      </c>
      <c r="Y90" s="2">
        <f t="shared" si="6"/>
        <v>0.88</v>
      </c>
      <c r="Z90">
        <f t="shared" si="7"/>
        <v>18.796800000000001</v>
      </c>
      <c r="AA90">
        <f t="shared" si="8"/>
        <v>117.5528376</v>
      </c>
      <c r="AB90">
        <f t="shared" si="9"/>
        <v>0.1175528376</v>
      </c>
    </row>
    <row r="91" spans="1:28" ht="12.75" x14ac:dyDescent="0.2">
      <c r="A91">
        <v>7425106</v>
      </c>
      <c r="B91" t="s">
        <v>23</v>
      </c>
      <c r="C91" t="s">
        <v>24</v>
      </c>
      <c r="D91">
        <v>103</v>
      </c>
      <c r="E91" t="s">
        <v>25</v>
      </c>
      <c r="F91">
        <v>3273</v>
      </c>
      <c r="G91" t="s">
        <v>26</v>
      </c>
      <c r="H91" t="s">
        <v>27</v>
      </c>
      <c r="I91" s="1">
        <v>39303</v>
      </c>
      <c r="J91">
        <v>1053.3475000000001</v>
      </c>
      <c r="K91">
        <v>1</v>
      </c>
      <c r="L91">
        <v>1</v>
      </c>
      <c r="M91">
        <v>1</v>
      </c>
      <c r="O91">
        <v>3</v>
      </c>
      <c r="P91">
        <v>554</v>
      </c>
      <c r="Q91">
        <v>6</v>
      </c>
      <c r="R91">
        <v>1</v>
      </c>
      <c r="S91">
        <v>2989290.3462</v>
      </c>
      <c r="T91">
        <v>60805.405100000004</v>
      </c>
      <c r="U91">
        <v>89000</v>
      </c>
      <c r="V91">
        <v>38.098331123364453</v>
      </c>
      <c r="W91">
        <v>123</v>
      </c>
      <c r="X91">
        <f t="shared" si="5"/>
        <v>0.75</v>
      </c>
      <c r="Y91" s="2">
        <f t="shared" si="6"/>
        <v>0.89</v>
      </c>
      <c r="Z91">
        <f t="shared" si="7"/>
        <v>19.010400000000001</v>
      </c>
      <c r="AA91">
        <f t="shared" si="8"/>
        <v>118.88866530000003</v>
      </c>
      <c r="AB91">
        <f t="shared" si="9"/>
        <v>0.11888866530000003</v>
      </c>
    </row>
    <row r="92" spans="1:28" ht="12.75" x14ac:dyDescent="0.2">
      <c r="A92">
        <v>7425106</v>
      </c>
      <c r="B92" t="s">
        <v>23</v>
      </c>
      <c r="C92" t="s">
        <v>24</v>
      </c>
      <c r="D92">
        <v>103</v>
      </c>
      <c r="E92" t="s">
        <v>25</v>
      </c>
      <c r="F92">
        <v>3273</v>
      </c>
      <c r="G92" t="s">
        <v>26</v>
      </c>
      <c r="H92" t="s">
        <v>27</v>
      </c>
      <c r="I92" s="1">
        <v>39303</v>
      </c>
      <c r="J92">
        <v>1053.3475000000001</v>
      </c>
      <c r="K92">
        <v>1</v>
      </c>
      <c r="L92">
        <v>1</v>
      </c>
      <c r="M92">
        <v>1</v>
      </c>
      <c r="O92">
        <v>3</v>
      </c>
      <c r="P92">
        <v>554</v>
      </c>
      <c r="Q92">
        <v>6</v>
      </c>
      <c r="R92">
        <v>1</v>
      </c>
      <c r="S92">
        <v>2989290.3462</v>
      </c>
      <c r="T92">
        <v>60805.405100000004</v>
      </c>
      <c r="U92">
        <v>90000</v>
      </c>
      <c r="V92">
        <v>84.65478388751805</v>
      </c>
      <c r="W92">
        <v>110</v>
      </c>
      <c r="X92">
        <f t="shared" si="5"/>
        <v>13</v>
      </c>
      <c r="Y92" s="2">
        <f t="shared" si="6"/>
        <v>0.9</v>
      </c>
      <c r="Z92">
        <f t="shared" si="7"/>
        <v>19.224</v>
      </c>
      <c r="AA92">
        <f t="shared" si="8"/>
        <v>2083.891212</v>
      </c>
      <c r="AB92">
        <f t="shared" si="9"/>
        <v>2.0838912120000002</v>
      </c>
    </row>
    <row r="93" spans="1:28" ht="12.75" x14ac:dyDescent="0.2">
      <c r="A93">
        <v>7425106</v>
      </c>
      <c r="B93" t="s">
        <v>23</v>
      </c>
      <c r="C93" t="s">
        <v>24</v>
      </c>
      <c r="D93">
        <v>103</v>
      </c>
      <c r="E93" t="s">
        <v>25</v>
      </c>
      <c r="F93">
        <v>3273</v>
      </c>
      <c r="G93" t="s">
        <v>26</v>
      </c>
      <c r="H93" t="s">
        <v>27</v>
      </c>
      <c r="I93" s="1">
        <v>39303</v>
      </c>
      <c r="J93">
        <v>1053.3475000000001</v>
      </c>
      <c r="K93">
        <v>1</v>
      </c>
      <c r="L93">
        <v>1</v>
      </c>
      <c r="M93">
        <v>1</v>
      </c>
      <c r="O93">
        <v>3</v>
      </c>
      <c r="P93">
        <v>554</v>
      </c>
      <c r="Q93">
        <v>6</v>
      </c>
      <c r="R93">
        <v>1</v>
      </c>
      <c r="S93">
        <v>2989290.3462</v>
      </c>
      <c r="T93">
        <v>60805.405100000004</v>
      </c>
      <c r="U93">
        <v>91000</v>
      </c>
      <c r="V93">
        <v>193.28047221943831</v>
      </c>
      <c r="W93">
        <v>121</v>
      </c>
      <c r="X93">
        <f t="shared" si="5"/>
        <v>-11</v>
      </c>
      <c r="Y93" s="2">
        <f t="shared" si="6"/>
        <v>0.91</v>
      </c>
      <c r="Z93">
        <f t="shared" si="7"/>
        <v>19.4376</v>
      </c>
      <c r="AA93">
        <f t="shared" si="8"/>
        <v>-1782.8847036</v>
      </c>
      <c r="AB93">
        <f t="shared" si="9"/>
        <v>-1.7828847036</v>
      </c>
    </row>
    <row r="94" spans="1:28" ht="12.75" x14ac:dyDescent="0.2">
      <c r="A94">
        <v>7425106</v>
      </c>
      <c r="B94" t="s">
        <v>23</v>
      </c>
      <c r="C94" t="s">
        <v>24</v>
      </c>
      <c r="D94">
        <v>103</v>
      </c>
      <c r="E94" t="s">
        <v>25</v>
      </c>
      <c r="F94">
        <v>3273</v>
      </c>
      <c r="G94" t="s">
        <v>26</v>
      </c>
      <c r="H94" t="s">
        <v>27</v>
      </c>
      <c r="I94" s="1">
        <v>39303</v>
      </c>
      <c r="J94">
        <v>1053.3475000000001</v>
      </c>
      <c r="K94">
        <v>1</v>
      </c>
      <c r="L94">
        <v>1</v>
      </c>
      <c r="M94">
        <v>1</v>
      </c>
      <c r="O94">
        <v>3</v>
      </c>
      <c r="P94">
        <v>554</v>
      </c>
      <c r="Q94">
        <v>6</v>
      </c>
      <c r="R94">
        <v>1</v>
      </c>
      <c r="S94">
        <v>2989290.3462</v>
      </c>
      <c r="T94">
        <v>60805.405100000004</v>
      </c>
      <c r="U94">
        <v>92000</v>
      </c>
      <c r="V94">
        <v>248.75869457291691</v>
      </c>
      <c r="W94">
        <v>111</v>
      </c>
      <c r="X94">
        <f t="shared" si="5"/>
        <v>10</v>
      </c>
      <c r="Y94" s="2">
        <f t="shared" si="6"/>
        <v>0.92</v>
      </c>
      <c r="Z94">
        <f t="shared" si="7"/>
        <v>19.651199999999999</v>
      </c>
      <c r="AA94">
        <f t="shared" si="8"/>
        <v>1638.6153119999999</v>
      </c>
      <c r="AB94">
        <f t="shared" si="9"/>
        <v>1.638615312</v>
      </c>
    </row>
    <row r="95" spans="1:28" ht="12.75" x14ac:dyDescent="0.2">
      <c r="A95">
        <v>7425106</v>
      </c>
      <c r="B95" t="s">
        <v>23</v>
      </c>
      <c r="C95" t="s">
        <v>24</v>
      </c>
      <c r="D95">
        <v>103</v>
      </c>
      <c r="E95" t="s">
        <v>25</v>
      </c>
      <c r="F95">
        <v>3273</v>
      </c>
      <c r="G95" t="s">
        <v>26</v>
      </c>
      <c r="H95" t="s">
        <v>27</v>
      </c>
      <c r="I95" s="1">
        <v>39303</v>
      </c>
      <c r="J95">
        <v>1053.3475000000001</v>
      </c>
      <c r="K95">
        <v>1</v>
      </c>
      <c r="L95">
        <v>1</v>
      </c>
      <c r="M95">
        <v>1</v>
      </c>
      <c r="O95">
        <v>3</v>
      </c>
      <c r="P95">
        <v>554</v>
      </c>
      <c r="Q95">
        <v>6</v>
      </c>
      <c r="R95">
        <v>1</v>
      </c>
      <c r="S95">
        <v>2989290.3462</v>
      </c>
      <c r="T95">
        <v>60805.405100000004</v>
      </c>
      <c r="U95">
        <v>93000</v>
      </c>
      <c r="V95">
        <v>151.67127492719109</v>
      </c>
      <c r="W95">
        <v>111</v>
      </c>
      <c r="X95">
        <f t="shared" si="5"/>
        <v>0</v>
      </c>
      <c r="Y95" s="2">
        <f t="shared" si="6"/>
        <v>0.93</v>
      </c>
      <c r="Z95">
        <f t="shared" si="7"/>
        <v>19.864799999999999</v>
      </c>
      <c r="AA95">
        <f t="shared" si="8"/>
        <v>0</v>
      </c>
      <c r="AB95">
        <f t="shared" si="9"/>
        <v>0</v>
      </c>
    </row>
    <row r="96" spans="1:28" ht="12.75" x14ac:dyDescent="0.2">
      <c r="A96">
        <v>7425106</v>
      </c>
      <c r="B96" t="s">
        <v>23</v>
      </c>
      <c r="C96" t="s">
        <v>24</v>
      </c>
      <c r="D96">
        <v>103</v>
      </c>
      <c r="E96" t="s">
        <v>25</v>
      </c>
      <c r="F96">
        <v>3273</v>
      </c>
      <c r="G96" t="s">
        <v>26</v>
      </c>
      <c r="H96" t="s">
        <v>27</v>
      </c>
      <c r="I96" s="1">
        <v>39303</v>
      </c>
      <c r="J96">
        <v>1053.3475000000001</v>
      </c>
      <c r="K96">
        <v>1</v>
      </c>
      <c r="L96">
        <v>1</v>
      </c>
      <c r="M96">
        <v>1</v>
      </c>
      <c r="O96">
        <v>3</v>
      </c>
      <c r="P96">
        <v>554</v>
      </c>
      <c r="Q96">
        <v>6</v>
      </c>
      <c r="R96">
        <v>1</v>
      </c>
      <c r="S96">
        <v>2989290.3462</v>
      </c>
      <c r="T96">
        <v>60805.405100000004</v>
      </c>
      <c r="U96">
        <v>94000</v>
      </c>
      <c r="V96">
        <v>113.085139568906</v>
      </c>
      <c r="W96">
        <v>106</v>
      </c>
      <c r="X96">
        <f t="shared" si="5"/>
        <v>5</v>
      </c>
      <c r="Y96" s="2">
        <f t="shared" si="6"/>
        <v>0.94</v>
      </c>
      <c r="Z96">
        <f t="shared" si="7"/>
        <v>20.078399999999998</v>
      </c>
      <c r="AA96">
        <f t="shared" si="8"/>
        <v>837.1186919999999</v>
      </c>
      <c r="AB96">
        <f t="shared" si="9"/>
        <v>0.83711869199999989</v>
      </c>
    </row>
    <row r="97" spans="1:28" ht="12.75" x14ac:dyDescent="0.2">
      <c r="A97">
        <v>7425106</v>
      </c>
      <c r="B97" t="s">
        <v>23</v>
      </c>
      <c r="C97" t="s">
        <v>24</v>
      </c>
      <c r="D97">
        <v>103</v>
      </c>
      <c r="E97" t="s">
        <v>25</v>
      </c>
      <c r="F97">
        <v>3273</v>
      </c>
      <c r="G97" t="s">
        <v>26</v>
      </c>
      <c r="H97" t="s">
        <v>27</v>
      </c>
      <c r="I97" s="1">
        <v>39303</v>
      </c>
      <c r="J97">
        <v>1053.3475000000001</v>
      </c>
      <c r="K97">
        <v>1</v>
      </c>
      <c r="L97">
        <v>1</v>
      </c>
      <c r="M97">
        <v>1</v>
      </c>
      <c r="O97">
        <v>3</v>
      </c>
      <c r="P97">
        <v>554</v>
      </c>
      <c r="Q97">
        <v>6</v>
      </c>
      <c r="R97">
        <v>1</v>
      </c>
      <c r="S97">
        <v>2989290.3462</v>
      </c>
      <c r="T97">
        <v>60805.405100000004</v>
      </c>
      <c r="U97">
        <v>95000</v>
      </c>
      <c r="V97">
        <v>139.39864274798569</v>
      </c>
      <c r="W97">
        <v>105</v>
      </c>
      <c r="X97">
        <f t="shared" si="5"/>
        <v>1</v>
      </c>
      <c r="Y97" s="2">
        <f t="shared" si="6"/>
        <v>0.95</v>
      </c>
      <c r="Z97">
        <f t="shared" si="7"/>
        <v>20.291999999999998</v>
      </c>
      <c r="AA97">
        <f t="shared" si="8"/>
        <v>169.20484199999999</v>
      </c>
      <c r="AB97">
        <f t="shared" si="9"/>
        <v>0.16920484199999999</v>
      </c>
    </row>
    <row r="98" spans="1:28" ht="12.75" x14ac:dyDescent="0.2">
      <c r="A98">
        <v>7425106</v>
      </c>
      <c r="B98" t="s">
        <v>23</v>
      </c>
      <c r="C98" t="s">
        <v>24</v>
      </c>
      <c r="D98">
        <v>103</v>
      </c>
      <c r="E98" t="s">
        <v>25</v>
      </c>
      <c r="F98">
        <v>3273</v>
      </c>
      <c r="G98" t="s">
        <v>26</v>
      </c>
      <c r="H98" t="s">
        <v>27</v>
      </c>
      <c r="I98" s="1">
        <v>39303</v>
      </c>
      <c r="J98">
        <v>1053.3475000000001</v>
      </c>
      <c r="K98">
        <v>1</v>
      </c>
      <c r="L98">
        <v>1</v>
      </c>
      <c r="M98">
        <v>1</v>
      </c>
      <c r="O98">
        <v>3</v>
      </c>
      <c r="P98">
        <v>554</v>
      </c>
      <c r="Q98">
        <v>6</v>
      </c>
      <c r="R98">
        <v>1</v>
      </c>
      <c r="S98">
        <v>2989290.3462</v>
      </c>
      <c r="T98">
        <v>60805.405100000004</v>
      </c>
      <c r="U98">
        <v>96000</v>
      </c>
      <c r="V98">
        <v>127.29738265271889</v>
      </c>
      <c r="W98">
        <v>105</v>
      </c>
      <c r="X98">
        <f t="shared" si="5"/>
        <v>0</v>
      </c>
      <c r="Y98" s="2">
        <f t="shared" si="6"/>
        <v>0.96</v>
      </c>
      <c r="Z98">
        <f t="shared" si="7"/>
        <v>20.505599999999998</v>
      </c>
      <c r="AA98">
        <f t="shared" si="8"/>
        <v>0</v>
      </c>
      <c r="AB98">
        <f t="shared" si="9"/>
        <v>0</v>
      </c>
    </row>
    <row r="99" spans="1:28" ht="12.75" x14ac:dyDescent="0.2">
      <c r="A99">
        <v>7425106</v>
      </c>
      <c r="B99" t="s">
        <v>23</v>
      </c>
      <c r="C99" t="s">
        <v>24</v>
      </c>
      <c r="D99">
        <v>103</v>
      </c>
      <c r="E99" t="s">
        <v>25</v>
      </c>
      <c r="F99">
        <v>3273</v>
      </c>
      <c r="G99" t="s">
        <v>26</v>
      </c>
      <c r="H99" t="s">
        <v>27</v>
      </c>
      <c r="I99" s="1">
        <v>39303</v>
      </c>
      <c r="J99">
        <v>1053.3475000000001</v>
      </c>
      <c r="K99">
        <v>1</v>
      </c>
      <c r="L99">
        <v>1</v>
      </c>
      <c r="M99">
        <v>1</v>
      </c>
      <c r="O99">
        <v>3</v>
      </c>
      <c r="P99">
        <v>554</v>
      </c>
      <c r="Q99">
        <v>6</v>
      </c>
      <c r="R99">
        <v>1</v>
      </c>
      <c r="S99">
        <v>2989290.3462</v>
      </c>
      <c r="T99">
        <v>60805.405100000004</v>
      </c>
      <c r="U99">
        <v>97000</v>
      </c>
      <c r="V99">
        <v>102.1462189135256</v>
      </c>
      <c r="W99">
        <v>110</v>
      </c>
      <c r="X99">
        <f t="shared" si="5"/>
        <v>-5</v>
      </c>
      <c r="Y99" s="2">
        <f t="shared" si="6"/>
        <v>0.97</v>
      </c>
      <c r="Z99">
        <f t="shared" si="7"/>
        <v>20.719199999999997</v>
      </c>
      <c r="AA99">
        <f t="shared" si="8"/>
        <v>-863.83524599999987</v>
      </c>
      <c r="AB99">
        <f t="shared" si="9"/>
        <v>-0.86383524599999983</v>
      </c>
    </row>
    <row r="100" spans="1:28" ht="12.75" x14ac:dyDescent="0.2">
      <c r="A100">
        <v>7425106</v>
      </c>
      <c r="B100" t="s">
        <v>23</v>
      </c>
      <c r="C100" t="s">
        <v>24</v>
      </c>
      <c r="D100">
        <v>103</v>
      </c>
      <c r="E100" t="s">
        <v>25</v>
      </c>
      <c r="F100">
        <v>3273</v>
      </c>
      <c r="G100" t="s">
        <v>26</v>
      </c>
      <c r="H100" t="s">
        <v>27</v>
      </c>
      <c r="I100" s="1">
        <v>39303</v>
      </c>
      <c r="J100">
        <v>1053.3475000000001</v>
      </c>
      <c r="K100">
        <v>1</v>
      </c>
      <c r="L100">
        <v>1</v>
      </c>
      <c r="M100">
        <v>1</v>
      </c>
      <c r="O100">
        <v>3</v>
      </c>
      <c r="P100">
        <v>554</v>
      </c>
      <c r="Q100">
        <v>6</v>
      </c>
      <c r="R100">
        <v>1</v>
      </c>
      <c r="S100">
        <v>2989290.3462</v>
      </c>
      <c r="T100">
        <v>60805.405100000004</v>
      </c>
      <c r="U100">
        <v>98000</v>
      </c>
      <c r="V100">
        <v>35.548286583908741</v>
      </c>
      <c r="W100">
        <v>106</v>
      </c>
      <c r="X100">
        <f t="shared" si="5"/>
        <v>4</v>
      </c>
      <c r="Y100" s="2">
        <f t="shared" si="6"/>
        <v>0.98</v>
      </c>
      <c r="Z100">
        <f t="shared" si="7"/>
        <v>20.9328</v>
      </c>
      <c r="AA100">
        <f t="shared" si="8"/>
        <v>698.19261119999987</v>
      </c>
      <c r="AB100">
        <f t="shared" si="9"/>
        <v>0.69819261119999987</v>
      </c>
    </row>
    <row r="101" spans="1:28" ht="12.75" x14ac:dyDescent="0.2">
      <c r="A101">
        <v>7425106</v>
      </c>
      <c r="B101" t="s">
        <v>23</v>
      </c>
      <c r="C101" t="s">
        <v>24</v>
      </c>
      <c r="D101">
        <v>103</v>
      </c>
      <c r="E101" t="s">
        <v>25</v>
      </c>
      <c r="F101">
        <v>3273</v>
      </c>
      <c r="G101" t="s">
        <v>26</v>
      </c>
      <c r="H101" t="s">
        <v>27</v>
      </c>
      <c r="I101" s="1">
        <v>39303</v>
      </c>
      <c r="J101">
        <v>1053.3475000000001</v>
      </c>
      <c r="K101">
        <v>1</v>
      </c>
      <c r="L101">
        <v>1</v>
      </c>
      <c r="M101">
        <v>1</v>
      </c>
      <c r="O101">
        <v>3</v>
      </c>
      <c r="P101">
        <v>554</v>
      </c>
      <c r="Q101">
        <v>6</v>
      </c>
      <c r="R101">
        <v>1</v>
      </c>
      <c r="S101">
        <v>2989290.3462</v>
      </c>
      <c r="T101">
        <v>60805.405100000004</v>
      </c>
      <c r="U101">
        <v>99000</v>
      </c>
      <c r="V101">
        <v>7.4313720819367379</v>
      </c>
      <c r="W101">
        <v>101</v>
      </c>
      <c r="X101">
        <f t="shared" si="5"/>
        <v>5</v>
      </c>
      <c r="Y101" s="2">
        <f t="shared" si="6"/>
        <v>0.99</v>
      </c>
      <c r="Z101">
        <f t="shared" si="7"/>
        <v>21.1464</v>
      </c>
      <c r="AA101">
        <f t="shared" si="8"/>
        <v>881.64628200000004</v>
      </c>
      <c r="AB101">
        <f t="shared" si="9"/>
        <v>0.88164628200000006</v>
      </c>
    </row>
    <row r="102" spans="1:28" ht="12.75" x14ac:dyDescent="0.2">
      <c r="A102">
        <v>7425106</v>
      </c>
      <c r="B102" t="s">
        <v>23</v>
      </c>
      <c r="C102" t="s">
        <v>24</v>
      </c>
      <c r="D102">
        <v>103</v>
      </c>
      <c r="E102" t="s">
        <v>25</v>
      </c>
      <c r="F102">
        <v>3273</v>
      </c>
      <c r="G102" t="s">
        <v>26</v>
      </c>
      <c r="H102" t="s">
        <v>27</v>
      </c>
      <c r="I102" s="1">
        <v>39303</v>
      </c>
      <c r="J102">
        <v>1053.3475000000001</v>
      </c>
      <c r="K102">
        <v>1</v>
      </c>
      <c r="L102">
        <v>1</v>
      </c>
      <c r="M102">
        <v>1</v>
      </c>
      <c r="O102">
        <v>3</v>
      </c>
      <c r="P102">
        <v>554</v>
      </c>
      <c r="Q102">
        <v>6</v>
      </c>
      <c r="R102">
        <v>1</v>
      </c>
      <c r="S102">
        <v>2989290.3462</v>
      </c>
      <c r="T102">
        <v>60805.405100000004</v>
      </c>
      <c r="U102">
        <v>100000</v>
      </c>
      <c r="V102">
        <v>63.174008465087688</v>
      </c>
      <c r="W102">
        <v>102</v>
      </c>
      <c r="X102">
        <f t="shared" si="5"/>
        <v>-1</v>
      </c>
      <c r="Y102" s="2">
        <f t="shared" si="6"/>
        <v>1</v>
      </c>
      <c r="Z102">
        <f t="shared" si="7"/>
        <v>21.36</v>
      </c>
      <c r="AA102">
        <f t="shared" si="8"/>
        <v>-178.11036000000001</v>
      </c>
      <c r="AB102">
        <f t="shared" si="9"/>
        <v>-0.17811036000000002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puntoscauce1000_z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CERDA BARROSO</cp:lastModifiedBy>
  <cp:revision>0</cp:revision>
  <dcterms:modified xsi:type="dcterms:W3CDTF">2026-05-14T16:26:30Z</dcterms:modified>
</cp:coreProperties>
</file>