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cb\mini-hidroelectrica-eh-26289\data\"/>
    </mc:Choice>
  </mc:AlternateContent>
  <xr:revisionPtr revIDLastSave="0" documentId="13_ncr:1_{F53DCE43-5491-4026-8CA8-86183E4510CC}" xr6:coauthVersionLast="36" xr6:coauthVersionMax="36" xr10:uidLastSave="{00000000-0000-0000-0000-000000000000}"/>
  <bookViews>
    <workbookView xWindow="360" yWindow="15" windowWidth="20955" windowHeight="9720" activeTab="1" xr2:uid="{00000000-000D-0000-FFFF-FFFF00000000}"/>
  </bookViews>
  <sheets>
    <sheet name="PerfilPuntos_1000mCEM" sheetId="1" r:id="rId1"/>
    <sheet name="PerfilPuntos_1000mCEM (2)" sheetId="2" r:id="rId2"/>
    <sheet name="Hoja2" sheetId="4" r:id="rId3"/>
    <sheet name="Hoja1" sheetId="3" r:id="rId4"/>
    <sheet name="Hoja2 (2)" sheetId="5" r:id="rId5"/>
    <sheet name="Hoja2 (3)" sheetId="6" r:id="rId6"/>
  </sheets>
  <definedNames>
    <definedName name="_xlnm.Database">PerfilPuntos_1000mCEM!$A$1:$B$179</definedName>
  </definedNames>
  <calcPr calcId="191029"/>
</workbook>
</file>

<file path=xl/calcChain.xml><?xml version="1.0" encoding="utf-8"?>
<calcChain xmlns="http://schemas.openxmlformats.org/spreadsheetml/2006/main">
  <c r="F53" i="2" l="1"/>
  <c r="F26" i="6" l="1"/>
  <c r="F27" i="6"/>
  <c r="F7" i="6"/>
  <c r="C2" i="4"/>
  <c r="C2" i="5"/>
  <c r="C2" i="6"/>
  <c r="G7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8" i="6"/>
  <c r="G9" i="6"/>
  <c r="G10" i="6"/>
  <c r="G11" i="6"/>
  <c r="G12" i="6"/>
  <c r="G13" i="6"/>
  <c r="G14" i="6"/>
  <c r="G15" i="6"/>
  <c r="G16" i="6"/>
  <c r="F17" i="6"/>
  <c r="F18" i="6"/>
  <c r="F19" i="6"/>
  <c r="F20" i="6"/>
  <c r="F21" i="6"/>
  <c r="F22" i="6"/>
  <c r="F23" i="6"/>
  <c r="F24" i="6"/>
  <c r="F25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8" i="6"/>
  <c r="F9" i="6"/>
  <c r="F10" i="6"/>
  <c r="F11" i="6"/>
  <c r="F12" i="6"/>
  <c r="F13" i="6"/>
  <c r="F14" i="6"/>
  <c r="F15" i="6"/>
  <c r="F16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D179" i="6"/>
  <c r="E179" i="6" s="1"/>
  <c r="D178" i="6"/>
  <c r="E178" i="6" s="1"/>
  <c r="E177" i="6"/>
  <c r="D177" i="6"/>
  <c r="E176" i="6"/>
  <c r="D176" i="6"/>
  <c r="D175" i="6"/>
  <c r="E175" i="6" s="1"/>
  <c r="D174" i="6"/>
  <c r="E174" i="6" s="1"/>
  <c r="E173" i="6"/>
  <c r="D173" i="6"/>
  <c r="E172" i="6"/>
  <c r="D172" i="6"/>
  <c r="D171" i="6"/>
  <c r="E171" i="6" s="1"/>
  <c r="E170" i="6"/>
  <c r="D170" i="6"/>
  <c r="E169" i="6"/>
  <c r="D169" i="6"/>
  <c r="E168" i="6"/>
  <c r="D168" i="6"/>
  <c r="D167" i="6"/>
  <c r="E167" i="6" s="1"/>
  <c r="D166" i="6"/>
  <c r="E166" i="6" s="1"/>
  <c r="E165" i="6"/>
  <c r="D165" i="6"/>
  <c r="E164" i="6"/>
  <c r="D164" i="6"/>
  <c r="D163" i="6"/>
  <c r="E163" i="6" s="1"/>
  <c r="E162" i="6"/>
  <c r="D162" i="6"/>
  <c r="E161" i="6"/>
  <c r="D161" i="6"/>
  <c r="E160" i="6"/>
  <c r="D160" i="6"/>
  <c r="D159" i="6"/>
  <c r="E159" i="6" s="1"/>
  <c r="D158" i="6"/>
  <c r="E158" i="6" s="1"/>
  <c r="E157" i="6"/>
  <c r="D157" i="6"/>
  <c r="E156" i="6"/>
  <c r="D156" i="6"/>
  <c r="D155" i="6"/>
  <c r="E155" i="6" s="1"/>
  <c r="E154" i="6"/>
  <c r="D154" i="6"/>
  <c r="E153" i="6"/>
  <c r="D153" i="6"/>
  <c r="D152" i="6"/>
  <c r="E152" i="6" s="1"/>
  <c r="D151" i="6"/>
  <c r="E151" i="6" s="1"/>
  <c r="E150" i="6"/>
  <c r="D150" i="6"/>
  <c r="E149" i="6"/>
  <c r="D149" i="6"/>
  <c r="D148" i="6"/>
  <c r="E148" i="6" s="1"/>
  <c r="D147" i="6"/>
  <c r="E147" i="6" s="1"/>
  <c r="E146" i="6"/>
  <c r="D146" i="6"/>
  <c r="E145" i="6"/>
  <c r="D145" i="6"/>
  <c r="D144" i="6"/>
  <c r="E144" i="6" s="1"/>
  <c r="D143" i="6"/>
  <c r="E143" i="6" s="1"/>
  <c r="E142" i="6"/>
  <c r="D142" i="6"/>
  <c r="E141" i="6"/>
  <c r="D141" i="6"/>
  <c r="D140" i="6"/>
  <c r="E140" i="6" s="1"/>
  <c r="D139" i="6"/>
  <c r="E139" i="6" s="1"/>
  <c r="E138" i="6"/>
  <c r="D138" i="6"/>
  <c r="E137" i="6"/>
  <c r="D137" i="6"/>
  <c r="D136" i="6"/>
  <c r="E136" i="6" s="1"/>
  <c r="D135" i="6"/>
  <c r="E135" i="6" s="1"/>
  <c r="E134" i="6"/>
  <c r="D134" i="6"/>
  <c r="E133" i="6"/>
  <c r="D133" i="6"/>
  <c r="D132" i="6"/>
  <c r="E132" i="6" s="1"/>
  <c r="D131" i="6"/>
  <c r="E131" i="6" s="1"/>
  <c r="E130" i="6"/>
  <c r="D130" i="6"/>
  <c r="E129" i="6"/>
  <c r="D129" i="6"/>
  <c r="E128" i="6"/>
  <c r="D128" i="6"/>
  <c r="D127" i="6"/>
  <c r="E127" i="6" s="1"/>
  <c r="D126" i="6"/>
  <c r="E126" i="6" s="1"/>
  <c r="E125" i="6"/>
  <c r="D125" i="6"/>
  <c r="D124" i="6"/>
  <c r="E124" i="6" s="1"/>
  <c r="D123" i="6"/>
  <c r="E123" i="6" s="1"/>
  <c r="D122" i="6"/>
  <c r="E122" i="6" s="1"/>
  <c r="E121" i="6"/>
  <c r="D121" i="6"/>
  <c r="D120" i="6"/>
  <c r="E120" i="6" s="1"/>
  <c r="D119" i="6"/>
  <c r="E119" i="6" s="1"/>
  <c r="D118" i="6"/>
  <c r="E118" i="6" s="1"/>
  <c r="E117" i="6"/>
  <c r="D117" i="6"/>
  <c r="E116" i="6"/>
  <c r="D116" i="6"/>
  <c r="D115" i="6"/>
  <c r="E115" i="6" s="1"/>
  <c r="E114" i="6"/>
  <c r="D114" i="6"/>
  <c r="E113" i="6"/>
  <c r="D113" i="6"/>
  <c r="E112" i="6"/>
  <c r="D112" i="6"/>
  <c r="D111" i="6"/>
  <c r="E111" i="6" s="1"/>
  <c r="D110" i="6"/>
  <c r="E110" i="6" s="1"/>
  <c r="E109" i="6"/>
  <c r="D109" i="6"/>
  <c r="E108" i="6"/>
  <c r="D108" i="6"/>
  <c r="D107" i="6"/>
  <c r="E107" i="6" s="1"/>
  <c r="E106" i="6"/>
  <c r="D106" i="6"/>
  <c r="E105" i="6"/>
  <c r="D105" i="6"/>
  <c r="D104" i="6"/>
  <c r="E104" i="6" s="1"/>
  <c r="D103" i="6"/>
  <c r="E103" i="6" s="1"/>
  <c r="E102" i="6"/>
  <c r="D102" i="6"/>
  <c r="E101" i="6"/>
  <c r="D101" i="6"/>
  <c r="D100" i="6"/>
  <c r="E100" i="6" s="1"/>
  <c r="D99" i="6"/>
  <c r="E99" i="6" s="1"/>
  <c r="E98" i="6"/>
  <c r="D98" i="6"/>
  <c r="E97" i="6"/>
  <c r="D97" i="6"/>
  <c r="D96" i="6"/>
  <c r="E96" i="6" s="1"/>
  <c r="D95" i="6"/>
  <c r="E95" i="6" s="1"/>
  <c r="E94" i="6"/>
  <c r="D94" i="6"/>
  <c r="E93" i="6"/>
  <c r="D93" i="6"/>
  <c r="E92" i="6"/>
  <c r="D92" i="6"/>
  <c r="D91" i="6"/>
  <c r="E91" i="6" s="1"/>
  <c r="D90" i="6"/>
  <c r="E90" i="6" s="1"/>
  <c r="E89" i="6"/>
  <c r="D89" i="6"/>
  <c r="D88" i="6"/>
  <c r="E88" i="6" s="1"/>
  <c r="D87" i="6"/>
  <c r="E87" i="6" s="1"/>
  <c r="D86" i="6"/>
  <c r="E86" i="6" s="1"/>
  <c r="E85" i="6"/>
  <c r="D85" i="6"/>
  <c r="D84" i="6"/>
  <c r="E84" i="6" s="1"/>
  <c r="D83" i="6"/>
  <c r="E83" i="6" s="1"/>
  <c r="D82" i="6"/>
  <c r="E82" i="6" s="1"/>
  <c r="E81" i="6"/>
  <c r="D81" i="6"/>
  <c r="D80" i="6"/>
  <c r="E80" i="6" s="1"/>
  <c r="D79" i="6"/>
  <c r="E79" i="6" s="1"/>
  <c r="D78" i="6"/>
  <c r="E78" i="6" s="1"/>
  <c r="E77" i="6"/>
  <c r="D77" i="6"/>
  <c r="E76" i="6"/>
  <c r="D76" i="6"/>
  <c r="D75" i="6"/>
  <c r="E75" i="6" s="1"/>
  <c r="E74" i="6"/>
  <c r="D74" i="6"/>
  <c r="E73" i="6"/>
  <c r="D73" i="6"/>
  <c r="E72" i="6"/>
  <c r="D72" i="6"/>
  <c r="D71" i="6"/>
  <c r="E71" i="6" s="1"/>
  <c r="D70" i="6"/>
  <c r="E70" i="6" s="1"/>
  <c r="D69" i="6"/>
  <c r="E69" i="6" s="1"/>
  <c r="E68" i="6"/>
  <c r="D68" i="6"/>
  <c r="D67" i="6"/>
  <c r="E67" i="6" s="1"/>
  <c r="D66" i="6"/>
  <c r="E66" i="6" s="1"/>
  <c r="E65" i="6"/>
  <c r="D65" i="6"/>
  <c r="D64" i="6"/>
  <c r="E64" i="6" s="1"/>
  <c r="E63" i="6"/>
  <c r="D63" i="6"/>
  <c r="D62" i="6"/>
  <c r="E62" i="6" s="1"/>
  <c r="E61" i="6"/>
  <c r="D61" i="6"/>
  <c r="D60" i="6"/>
  <c r="E60" i="6" s="1"/>
  <c r="E59" i="6"/>
  <c r="D59" i="6"/>
  <c r="D58" i="6"/>
  <c r="E58" i="6" s="1"/>
  <c r="E57" i="6"/>
  <c r="D57" i="6"/>
  <c r="D56" i="6"/>
  <c r="E56" i="6" s="1"/>
  <c r="E55" i="6"/>
  <c r="D55" i="6"/>
  <c r="D54" i="6"/>
  <c r="E54" i="6" s="1"/>
  <c r="E53" i="6"/>
  <c r="D53" i="6"/>
  <c r="D52" i="6"/>
  <c r="E52" i="6" s="1"/>
  <c r="E51" i="6"/>
  <c r="D51" i="6"/>
  <c r="D50" i="6"/>
  <c r="E50" i="6" s="1"/>
  <c r="E49" i="6"/>
  <c r="D49" i="6"/>
  <c r="D48" i="6"/>
  <c r="E48" i="6" s="1"/>
  <c r="E47" i="6"/>
  <c r="D47" i="6"/>
  <c r="D46" i="6"/>
  <c r="E46" i="6" s="1"/>
  <c r="E45" i="6"/>
  <c r="D45" i="6"/>
  <c r="D44" i="6"/>
  <c r="E44" i="6" s="1"/>
  <c r="E43" i="6"/>
  <c r="D43" i="6"/>
  <c r="D42" i="6"/>
  <c r="E42" i="6" s="1"/>
  <c r="E41" i="6"/>
  <c r="D41" i="6"/>
  <c r="D40" i="6"/>
  <c r="E40" i="6" s="1"/>
  <c r="E39" i="6"/>
  <c r="D39" i="6"/>
  <c r="D38" i="6"/>
  <c r="E38" i="6" s="1"/>
  <c r="E37" i="6"/>
  <c r="D37" i="6"/>
  <c r="D36" i="6"/>
  <c r="E36" i="6" s="1"/>
  <c r="E35" i="6"/>
  <c r="D35" i="6"/>
  <c r="D34" i="6"/>
  <c r="E34" i="6" s="1"/>
  <c r="E33" i="6"/>
  <c r="D33" i="6"/>
  <c r="D32" i="6"/>
  <c r="E32" i="6" s="1"/>
  <c r="E31" i="6"/>
  <c r="D31" i="6"/>
  <c r="D30" i="6"/>
  <c r="E30" i="6" s="1"/>
  <c r="E29" i="6"/>
  <c r="D29" i="6"/>
  <c r="D28" i="6"/>
  <c r="E28" i="6" s="1"/>
  <c r="E27" i="6"/>
  <c r="D27" i="6"/>
  <c r="D26" i="6"/>
  <c r="E26" i="6" s="1"/>
  <c r="E25" i="6"/>
  <c r="D25" i="6"/>
  <c r="D24" i="6"/>
  <c r="E24" i="6" s="1"/>
  <c r="E23" i="6"/>
  <c r="D23" i="6"/>
  <c r="D22" i="6"/>
  <c r="E22" i="6" s="1"/>
  <c r="E21" i="6"/>
  <c r="D21" i="6"/>
  <c r="D20" i="6"/>
  <c r="E20" i="6" s="1"/>
  <c r="E19" i="6"/>
  <c r="D19" i="6"/>
  <c r="D18" i="6"/>
  <c r="E18" i="6" s="1"/>
  <c r="E17" i="6"/>
  <c r="D17" i="6"/>
  <c r="D16" i="6"/>
  <c r="E16" i="6" s="1"/>
  <c r="E15" i="6"/>
  <c r="D15" i="6"/>
  <c r="D14" i="6"/>
  <c r="E14" i="6" s="1"/>
  <c r="E13" i="6"/>
  <c r="D13" i="6"/>
  <c r="D12" i="6"/>
  <c r="E12" i="6" s="1"/>
  <c r="E11" i="6"/>
  <c r="D11" i="6"/>
  <c r="D10" i="6"/>
  <c r="E10" i="6" s="1"/>
  <c r="E9" i="6"/>
  <c r="D9" i="6"/>
  <c r="D8" i="6"/>
  <c r="E8" i="6" s="1"/>
  <c r="E7" i="6"/>
  <c r="D7" i="6"/>
  <c r="D6" i="6"/>
  <c r="E6" i="6" s="1"/>
  <c r="E5" i="6"/>
  <c r="D5" i="6"/>
  <c r="D4" i="6"/>
  <c r="E4" i="6" s="1"/>
  <c r="E3" i="6"/>
  <c r="D3" i="6"/>
  <c r="D2" i="6"/>
  <c r="E2" i="6" s="1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G101" i="5" s="1"/>
  <c r="F102" i="5"/>
  <c r="F103" i="5"/>
  <c r="F104" i="5"/>
  <c r="F105" i="5"/>
  <c r="F106" i="5"/>
  <c r="F107" i="5"/>
  <c r="F108" i="5"/>
  <c r="F109" i="5"/>
  <c r="G109" i="5" s="1"/>
  <c r="F110" i="5"/>
  <c r="F111" i="5"/>
  <c r="F112" i="5"/>
  <c r="F113" i="5"/>
  <c r="F114" i="5"/>
  <c r="F115" i="5"/>
  <c r="F116" i="5"/>
  <c r="F117" i="5"/>
  <c r="F118" i="5"/>
  <c r="F119" i="5"/>
  <c r="F120" i="5"/>
  <c r="F121" i="5"/>
  <c r="G121" i="5" s="1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G141" i="5" s="1"/>
  <c r="F142" i="5"/>
  <c r="F143" i="5"/>
  <c r="F144" i="5"/>
  <c r="F145" i="5"/>
  <c r="G145" i="5" s="1"/>
  <c r="F146" i="5"/>
  <c r="F147" i="5"/>
  <c r="F148" i="5"/>
  <c r="F149" i="5"/>
  <c r="G149" i="5" s="1"/>
  <c r="F150" i="5"/>
  <c r="F151" i="5"/>
  <c r="F152" i="5"/>
  <c r="F153" i="5"/>
  <c r="G153" i="5" s="1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G169" i="5" s="1"/>
  <c r="F170" i="5"/>
  <c r="F171" i="5"/>
  <c r="F172" i="5"/>
  <c r="F173" i="5"/>
  <c r="G173" i="5" s="1"/>
  <c r="F174" i="5"/>
  <c r="F175" i="5"/>
  <c r="F176" i="5"/>
  <c r="F177" i="5"/>
  <c r="G177" i="5" s="1"/>
  <c r="F178" i="5"/>
  <c r="F179" i="5"/>
  <c r="F17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D179" i="5"/>
  <c r="E179" i="5" s="1"/>
  <c r="G179" i="5" s="1"/>
  <c r="G178" i="5"/>
  <c r="E178" i="5"/>
  <c r="D178" i="5"/>
  <c r="E177" i="5"/>
  <c r="D177" i="5"/>
  <c r="D176" i="5"/>
  <c r="E176" i="5" s="1"/>
  <c r="E175" i="5"/>
  <c r="G175" i="5" s="1"/>
  <c r="D175" i="5"/>
  <c r="E174" i="5"/>
  <c r="G174" i="5" s="1"/>
  <c r="D174" i="5"/>
  <c r="E173" i="5"/>
  <c r="D173" i="5"/>
  <c r="D172" i="5"/>
  <c r="E172" i="5" s="1"/>
  <c r="D171" i="5"/>
  <c r="E171" i="5" s="1"/>
  <c r="G171" i="5" s="1"/>
  <c r="E170" i="5"/>
  <c r="G170" i="5" s="1"/>
  <c r="D170" i="5"/>
  <c r="E169" i="5"/>
  <c r="D169" i="5"/>
  <c r="D168" i="5"/>
  <c r="E168" i="5" s="1"/>
  <c r="D167" i="5"/>
  <c r="E167" i="5" s="1"/>
  <c r="E166" i="5"/>
  <c r="G166" i="5" s="1"/>
  <c r="D166" i="5"/>
  <c r="G165" i="5"/>
  <c r="E165" i="5"/>
  <c r="D165" i="5"/>
  <c r="D164" i="5"/>
  <c r="E164" i="5" s="1"/>
  <c r="D163" i="5"/>
  <c r="E163" i="5" s="1"/>
  <c r="G163" i="5" s="1"/>
  <c r="G162" i="5"/>
  <c r="E162" i="5"/>
  <c r="D162" i="5"/>
  <c r="G161" i="5"/>
  <c r="E161" i="5"/>
  <c r="D161" i="5"/>
  <c r="D160" i="5"/>
  <c r="E160" i="5" s="1"/>
  <c r="E159" i="5"/>
  <c r="G159" i="5" s="1"/>
  <c r="D159" i="5"/>
  <c r="E158" i="5"/>
  <c r="G158" i="5" s="1"/>
  <c r="D158" i="5"/>
  <c r="G157" i="5"/>
  <c r="E157" i="5"/>
  <c r="D157" i="5"/>
  <c r="D156" i="5"/>
  <c r="E156" i="5" s="1"/>
  <c r="G156" i="5" s="1"/>
  <c r="D155" i="5"/>
  <c r="E155" i="5" s="1"/>
  <c r="G155" i="5" s="1"/>
  <c r="E154" i="5"/>
  <c r="G154" i="5" s="1"/>
  <c r="D154" i="5"/>
  <c r="E153" i="5"/>
  <c r="D153" i="5"/>
  <c r="D152" i="5"/>
  <c r="E152" i="5" s="1"/>
  <c r="D151" i="5"/>
  <c r="E151" i="5" s="1"/>
  <c r="G151" i="5" s="1"/>
  <c r="E150" i="5"/>
  <c r="G150" i="5" s="1"/>
  <c r="D150" i="5"/>
  <c r="E149" i="5"/>
  <c r="D149" i="5"/>
  <c r="D148" i="5"/>
  <c r="E148" i="5" s="1"/>
  <c r="D147" i="5"/>
  <c r="E147" i="5" s="1"/>
  <c r="G147" i="5" s="1"/>
  <c r="E146" i="5"/>
  <c r="D146" i="5"/>
  <c r="E145" i="5"/>
  <c r="D145" i="5"/>
  <c r="D144" i="5"/>
  <c r="E144" i="5" s="1"/>
  <c r="E143" i="5"/>
  <c r="D143" i="5"/>
  <c r="E142" i="5"/>
  <c r="G142" i="5" s="1"/>
  <c r="D142" i="5"/>
  <c r="E141" i="5"/>
  <c r="D141" i="5"/>
  <c r="D140" i="5"/>
  <c r="E140" i="5" s="1"/>
  <c r="D139" i="5"/>
  <c r="E139" i="5" s="1"/>
  <c r="E138" i="5"/>
  <c r="G138" i="5" s="1"/>
  <c r="D138" i="5"/>
  <c r="D137" i="5"/>
  <c r="E137" i="5" s="1"/>
  <c r="G137" i="5" s="1"/>
  <c r="D136" i="5"/>
  <c r="E136" i="5" s="1"/>
  <c r="G146" i="5"/>
  <c r="D135" i="5"/>
  <c r="E135" i="5" s="1"/>
  <c r="G135" i="5" s="1"/>
  <c r="G134" i="5"/>
  <c r="E134" i="5"/>
  <c r="D134" i="5"/>
  <c r="D133" i="5"/>
  <c r="E133" i="5" s="1"/>
  <c r="D132" i="5"/>
  <c r="E132" i="5" s="1"/>
  <c r="G132" i="5" s="1"/>
  <c r="D131" i="5"/>
  <c r="E131" i="5" s="1"/>
  <c r="E130" i="5"/>
  <c r="G130" i="5" s="1"/>
  <c r="D130" i="5"/>
  <c r="G129" i="5"/>
  <c r="E129" i="5"/>
  <c r="D129" i="5"/>
  <c r="D128" i="5"/>
  <c r="E128" i="5" s="1"/>
  <c r="D127" i="5"/>
  <c r="E127" i="5" s="1"/>
  <c r="G127" i="5" s="1"/>
  <c r="E126" i="5"/>
  <c r="G126" i="5" s="1"/>
  <c r="D126" i="5"/>
  <c r="D125" i="5"/>
  <c r="E125" i="5" s="1"/>
  <c r="D124" i="5"/>
  <c r="E124" i="5" s="1"/>
  <c r="G124" i="5" s="1"/>
  <c r="E123" i="5"/>
  <c r="D123" i="5"/>
  <c r="E122" i="5"/>
  <c r="G122" i="5" s="1"/>
  <c r="D122" i="5"/>
  <c r="E121" i="5"/>
  <c r="D121" i="5"/>
  <c r="D120" i="5"/>
  <c r="E120" i="5" s="1"/>
  <c r="D119" i="5"/>
  <c r="E119" i="5" s="1"/>
  <c r="E118" i="5"/>
  <c r="G118" i="5" s="1"/>
  <c r="D118" i="5"/>
  <c r="G117" i="5"/>
  <c r="E117" i="5"/>
  <c r="D117" i="5"/>
  <c r="D116" i="5"/>
  <c r="E116" i="5" s="1"/>
  <c r="G116" i="5" s="1"/>
  <c r="D115" i="5"/>
  <c r="E115" i="5" s="1"/>
  <c r="G115" i="5" s="1"/>
  <c r="E114" i="5"/>
  <c r="G114" i="5" s="1"/>
  <c r="D114" i="5"/>
  <c r="D113" i="5"/>
  <c r="E113" i="5" s="1"/>
  <c r="D112" i="5"/>
  <c r="E112" i="5" s="1"/>
  <c r="E111" i="5"/>
  <c r="D111" i="5"/>
  <c r="E110" i="5"/>
  <c r="G110" i="5" s="1"/>
  <c r="D110" i="5"/>
  <c r="E109" i="5"/>
  <c r="D109" i="5"/>
  <c r="D108" i="5"/>
  <c r="E108" i="5" s="1"/>
  <c r="D107" i="5"/>
  <c r="E107" i="5" s="1"/>
  <c r="E106" i="5"/>
  <c r="G106" i="5" s="1"/>
  <c r="D106" i="5"/>
  <c r="G105" i="5"/>
  <c r="E105" i="5"/>
  <c r="D105" i="5"/>
  <c r="D104" i="5"/>
  <c r="E104" i="5" s="1"/>
  <c r="D103" i="5"/>
  <c r="E103" i="5" s="1"/>
  <c r="G103" i="5" s="1"/>
  <c r="E102" i="5"/>
  <c r="G102" i="5" s="1"/>
  <c r="D102" i="5"/>
  <c r="E101" i="5"/>
  <c r="D101" i="5"/>
  <c r="D100" i="5"/>
  <c r="E100" i="5" s="1"/>
  <c r="D99" i="5"/>
  <c r="E99" i="5" s="1"/>
  <c r="G99" i="5" s="1"/>
  <c r="G98" i="5"/>
  <c r="E98" i="5"/>
  <c r="D98" i="5"/>
  <c r="D97" i="5"/>
  <c r="E97" i="5" s="1"/>
  <c r="D96" i="5"/>
  <c r="E96" i="5" s="1"/>
  <c r="D95" i="5"/>
  <c r="E95" i="5" s="1"/>
  <c r="E94" i="5"/>
  <c r="G94" i="5" s="1"/>
  <c r="D94" i="5"/>
  <c r="D93" i="5"/>
  <c r="E93" i="5" s="1"/>
  <c r="G93" i="5" s="1"/>
  <c r="D92" i="5"/>
  <c r="E92" i="5" s="1"/>
  <c r="D91" i="5"/>
  <c r="E91" i="5" s="1"/>
  <c r="G91" i="5" s="1"/>
  <c r="G90" i="5"/>
  <c r="E90" i="5"/>
  <c r="D90" i="5"/>
  <c r="D89" i="5"/>
  <c r="E89" i="5" s="1"/>
  <c r="D88" i="5"/>
  <c r="E88" i="5" s="1"/>
  <c r="D87" i="5"/>
  <c r="E87" i="5" s="1"/>
  <c r="G87" i="5" s="1"/>
  <c r="E86" i="5"/>
  <c r="G86" i="5" s="1"/>
  <c r="D86" i="5"/>
  <c r="D85" i="5"/>
  <c r="E85" i="5" s="1"/>
  <c r="D84" i="5"/>
  <c r="E84" i="5" s="1"/>
  <c r="G84" i="5" s="1"/>
  <c r="D83" i="5"/>
  <c r="E83" i="5" s="1"/>
  <c r="G82" i="5"/>
  <c r="E82" i="5"/>
  <c r="D82" i="5"/>
  <c r="D81" i="5"/>
  <c r="E81" i="5" s="1"/>
  <c r="D80" i="5"/>
  <c r="E80" i="5" s="1"/>
  <c r="D79" i="5"/>
  <c r="E79" i="5" s="1"/>
  <c r="G79" i="5" s="1"/>
  <c r="E78" i="5"/>
  <c r="G78" i="5" s="1"/>
  <c r="D78" i="5"/>
  <c r="D77" i="5"/>
  <c r="E77" i="5" s="1"/>
  <c r="D76" i="5"/>
  <c r="E76" i="5" s="1"/>
  <c r="D75" i="5"/>
  <c r="E75" i="5" s="1"/>
  <c r="G75" i="5" s="1"/>
  <c r="G74" i="5"/>
  <c r="E74" i="5"/>
  <c r="D74" i="5"/>
  <c r="D73" i="5"/>
  <c r="E73" i="5" s="1"/>
  <c r="G73" i="5" s="1"/>
  <c r="D72" i="5"/>
  <c r="E72" i="5" s="1"/>
  <c r="D71" i="5"/>
  <c r="E71" i="5" s="1"/>
  <c r="G71" i="5" s="1"/>
  <c r="E70" i="5"/>
  <c r="G70" i="5" s="1"/>
  <c r="D70" i="5"/>
  <c r="D69" i="5"/>
  <c r="E69" i="5" s="1"/>
  <c r="D68" i="5"/>
  <c r="E68" i="5" s="1"/>
  <c r="D67" i="5"/>
  <c r="E67" i="5" s="1"/>
  <c r="G67" i="5" s="1"/>
  <c r="E66" i="5"/>
  <c r="G66" i="5" s="1"/>
  <c r="D66" i="5"/>
  <c r="D65" i="5"/>
  <c r="E65" i="5" s="1"/>
  <c r="E64" i="5"/>
  <c r="G64" i="5" s="1"/>
  <c r="D64" i="5"/>
  <c r="D63" i="5"/>
  <c r="E63" i="5" s="1"/>
  <c r="D62" i="5"/>
  <c r="E62" i="5" s="1"/>
  <c r="G62" i="5" s="1"/>
  <c r="D61" i="5"/>
  <c r="E61" i="5" s="1"/>
  <c r="E60" i="5"/>
  <c r="D60" i="5"/>
  <c r="D59" i="5"/>
  <c r="E59" i="5" s="1"/>
  <c r="G59" i="5" s="1"/>
  <c r="D58" i="5"/>
  <c r="E58" i="5" s="1"/>
  <c r="G58" i="5" s="1"/>
  <c r="D57" i="5"/>
  <c r="E57" i="5" s="1"/>
  <c r="G57" i="5" s="1"/>
  <c r="E56" i="5"/>
  <c r="D56" i="5"/>
  <c r="D55" i="5"/>
  <c r="E55" i="5" s="1"/>
  <c r="G55" i="5" s="1"/>
  <c r="D54" i="5"/>
  <c r="E54" i="5" s="1"/>
  <c r="G54" i="5" s="1"/>
  <c r="D53" i="5"/>
  <c r="E53" i="5" s="1"/>
  <c r="E52" i="5"/>
  <c r="D52" i="5"/>
  <c r="D51" i="5"/>
  <c r="E51" i="5" s="1"/>
  <c r="G51" i="5" s="1"/>
  <c r="D50" i="5"/>
  <c r="E50" i="5" s="1"/>
  <c r="G50" i="5" s="1"/>
  <c r="D49" i="5"/>
  <c r="E49" i="5" s="1"/>
  <c r="E48" i="5"/>
  <c r="G48" i="5" s="1"/>
  <c r="D48" i="5"/>
  <c r="D47" i="5"/>
  <c r="E47" i="5" s="1"/>
  <c r="G47" i="5" s="1"/>
  <c r="D46" i="5"/>
  <c r="E46" i="5" s="1"/>
  <c r="G46" i="5" s="1"/>
  <c r="D45" i="5"/>
  <c r="E45" i="5" s="1"/>
  <c r="E44" i="5"/>
  <c r="D44" i="5"/>
  <c r="D43" i="5"/>
  <c r="E43" i="5" s="1"/>
  <c r="G43" i="5" s="1"/>
  <c r="D42" i="5"/>
  <c r="E42" i="5" s="1"/>
  <c r="G42" i="5" s="1"/>
  <c r="D41" i="5"/>
  <c r="E41" i="5" s="1"/>
  <c r="G41" i="5" s="1"/>
  <c r="E40" i="5"/>
  <c r="D40" i="5"/>
  <c r="D39" i="5"/>
  <c r="E39" i="5" s="1"/>
  <c r="G39" i="5" s="1"/>
  <c r="D38" i="5"/>
  <c r="E38" i="5" s="1"/>
  <c r="G38" i="5" s="1"/>
  <c r="D37" i="5"/>
  <c r="E37" i="5" s="1"/>
  <c r="E36" i="5"/>
  <c r="D36" i="5"/>
  <c r="D35" i="5"/>
  <c r="E35" i="5" s="1"/>
  <c r="G35" i="5" s="1"/>
  <c r="D34" i="5"/>
  <c r="E34" i="5" s="1"/>
  <c r="G34" i="5" s="1"/>
  <c r="D33" i="5"/>
  <c r="E33" i="5" s="1"/>
  <c r="E32" i="5"/>
  <c r="D32" i="5"/>
  <c r="G31" i="5"/>
  <c r="D31" i="5"/>
  <c r="E31" i="5" s="1"/>
  <c r="D30" i="5"/>
  <c r="E30" i="5" s="1"/>
  <c r="G30" i="5" s="1"/>
  <c r="D29" i="5"/>
  <c r="E29" i="5" s="1"/>
  <c r="G29" i="5" s="1"/>
  <c r="E28" i="5"/>
  <c r="D28" i="5"/>
  <c r="G27" i="5"/>
  <c r="D27" i="5"/>
  <c r="E27" i="5" s="1"/>
  <c r="D26" i="5"/>
  <c r="E26" i="5" s="1"/>
  <c r="G26" i="5" s="1"/>
  <c r="D25" i="5"/>
  <c r="E25" i="5" s="1"/>
  <c r="E24" i="5"/>
  <c r="D24" i="5"/>
  <c r="D23" i="5"/>
  <c r="E23" i="5" s="1"/>
  <c r="G23" i="5" s="1"/>
  <c r="D22" i="5"/>
  <c r="E22" i="5" s="1"/>
  <c r="G22" i="5" s="1"/>
  <c r="D21" i="5"/>
  <c r="E21" i="5" s="1"/>
  <c r="E20" i="5"/>
  <c r="D20" i="5"/>
  <c r="D19" i="5"/>
  <c r="E19" i="5" s="1"/>
  <c r="G19" i="5" s="1"/>
  <c r="G18" i="5"/>
  <c r="D18" i="5"/>
  <c r="E18" i="5" s="1"/>
  <c r="D17" i="5"/>
  <c r="E17" i="5" s="1"/>
  <c r="G17" i="5" s="1"/>
  <c r="E16" i="5"/>
  <c r="D16" i="5"/>
  <c r="D15" i="5"/>
  <c r="E15" i="5" s="1"/>
  <c r="D14" i="5"/>
  <c r="E14" i="5" s="1"/>
  <c r="D13" i="5"/>
  <c r="E13" i="5" s="1"/>
  <c r="E12" i="5"/>
  <c r="D12" i="5"/>
  <c r="D11" i="5"/>
  <c r="E11" i="5" s="1"/>
  <c r="D10" i="5"/>
  <c r="E10" i="5" s="1"/>
  <c r="D9" i="5"/>
  <c r="E9" i="5" s="1"/>
  <c r="E8" i="5"/>
  <c r="D8" i="5"/>
  <c r="D7" i="5"/>
  <c r="E7" i="5" s="1"/>
  <c r="D6" i="5"/>
  <c r="E6" i="5" s="1"/>
  <c r="D5" i="5"/>
  <c r="E5" i="5" s="1"/>
  <c r="E4" i="5"/>
  <c r="D4" i="5"/>
  <c r="D3" i="5"/>
  <c r="E3" i="5" s="1"/>
  <c r="D2" i="5"/>
  <c r="E2" i="5" s="1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3" i="4"/>
  <c r="G14" i="4"/>
  <c r="G15" i="4"/>
  <c r="G16" i="4"/>
  <c r="G17" i="4"/>
  <c r="G18" i="4"/>
  <c r="G19" i="4"/>
  <c r="G20" i="4"/>
  <c r="G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3" i="4"/>
  <c r="F14" i="4"/>
  <c r="F15" i="4"/>
  <c r="F16" i="4"/>
  <c r="F17" i="4"/>
  <c r="F18" i="4"/>
  <c r="F19" i="4"/>
  <c r="F20" i="4"/>
  <c r="F21" i="4"/>
  <c r="F12" i="4"/>
  <c r="G12" i="4" s="1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D179" i="4"/>
  <c r="E179" i="4" s="1"/>
  <c r="E178" i="4"/>
  <c r="D178" i="4"/>
  <c r="D177" i="4"/>
  <c r="E177" i="4" s="1"/>
  <c r="D176" i="4"/>
  <c r="E176" i="4" s="1"/>
  <c r="D175" i="4"/>
  <c r="E175" i="4" s="1"/>
  <c r="E174" i="4"/>
  <c r="D174" i="4"/>
  <c r="D173" i="4"/>
  <c r="E173" i="4" s="1"/>
  <c r="E172" i="4"/>
  <c r="D172" i="4"/>
  <c r="E171" i="4"/>
  <c r="D171" i="4"/>
  <c r="E170" i="4"/>
  <c r="D170" i="4"/>
  <c r="D169" i="4"/>
  <c r="E169" i="4" s="1"/>
  <c r="E168" i="4"/>
  <c r="D168" i="4"/>
  <c r="E167" i="4"/>
  <c r="D167" i="4"/>
  <c r="E166" i="4"/>
  <c r="D166" i="4"/>
  <c r="D165" i="4"/>
  <c r="E165" i="4" s="1"/>
  <c r="D164" i="4"/>
  <c r="E164" i="4" s="1"/>
  <c r="D163" i="4"/>
  <c r="E163" i="4" s="1"/>
  <c r="E162" i="4"/>
  <c r="D162" i="4"/>
  <c r="D161" i="4"/>
  <c r="E161" i="4" s="1"/>
  <c r="D160" i="4"/>
  <c r="E160" i="4" s="1"/>
  <c r="D159" i="4"/>
  <c r="E159" i="4" s="1"/>
  <c r="E158" i="4"/>
  <c r="D158" i="4"/>
  <c r="D157" i="4"/>
  <c r="E157" i="4" s="1"/>
  <c r="E156" i="4"/>
  <c r="D156" i="4"/>
  <c r="E155" i="4"/>
  <c r="D155" i="4"/>
  <c r="E154" i="4"/>
  <c r="D154" i="4"/>
  <c r="D153" i="4"/>
  <c r="E153" i="4" s="1"/>
  <c r="E152" i="4"/>
  <c r="D152" i="4"/>
  <c r="E151" i="4"/>
  <c r="D151" i="4"/>
  <c r="E150" i="4"/>
  <c r="D150" i="4"/>
  <c r="D149" i="4"/>
  <c r="E149" i="4" s="1"/>
  <c r="D148" i="4"/>
  <c r="E148" i="4" s="1"/>
  <c r="D147" i="4"/>
  <c r="E147" i="4" s="1"/>
  <c r="E146" i="4"/>
  <c r="D146" i="4"/>
  <c r="D145" i="4"/>
  <c r="E145" i="4" s="1"/>
  <c r="D144" i="4"/>
  <c r="E144" i="4" s="1"/>
  <c r="D143" i="4"/>
  <c r="E143" i="4" s="1"/>
  <c r="E142" i="4"/>
  <c r="D142" i="4"/>
  <c r="D141" i="4"/>
  <c r="E141" i="4" s="1"/>
  <c r="E140" i="4"/>
  <c r="D140" i="4"/>
  <c r="E139" i="4"/>
  <c r="D139" i="4"/>
  <c r="E138" i="4"/>
  <c r="D138" i="4"/>
  <c r="D137" i="4"/>
  <c r="E137" i="4" s="1"/>
  <c r="E136" i="4"/>
  <c r="D136" i="4"/>
  <c r="E135" i="4"/>
  <c r="D135" i="4"/>
  <c r="E134" i="4"/>
  <c r="D134" i="4"/>
  <c r="D133" i="4"/>
  <c r="E133" i="4" s="1"/>
  <c r="D132" i="4"/>
  <c r="E132" i="4" s="1"/>
  <c r="D131" i="4"/>
  <c r="E131" i="4" s="1"/>
  <c r="E130" i="4"/>
  <c r="D130" i="4"/>
  <c r="D129" i="4"/>
  <c r="E129" i="4" s="1"/>
  <c r="D128" i="4"/>
  <c r="E128" i="4" s="1"/>
  <c r="D127" i="4"/>
  <c r="E127" i="4" s="1"/>
  <c r="E126" i="4"/>
  <c r="D126" i="4"/>
  <c r="D125" i="4"/>
  <c r="E125" i="4" s="1"/>
  <c r="E124" i="4"/>
  <c r="D124" i="4"/>
  <c r="E123" i="4"/>
  <c r="D123" i="4"/>
  <c r="E122" i="4"/>
  <c r="D122" i="4"/>
  <c r="D121" i="4"/>
  <c r="E121" i="4" s="1"/>
  <c r="E120" i="4"/>
  <c r="D120" i="4"/>
  <c r="E119" i="4"/>
  <c r="D119" i="4"/>
  <c r="E118" i="4"/>
  <c r="D118" i="4"/>
  <c r="D117" i="4"/>
  <c r="E117" i="4" s="1"/>
  <c r="D116" i="4"/>
  <c r="E116" i="4" s="1"/>
  <c r="D115" i="4"/>
  <c r="E115" i="4" s="1"/>
  <c r="E114" i="4"/>
  <c r="D114" i="4"/>
  <c r="D113" i="4"/>
  <c r="E113" i="4" s="1"/>
  <c r="D112" i="4"/>
  <c r="E112" i="4" s="1"/>
  <c r="D111" i="4"/>
  <c r="E111" i="4" s="1"/>
  <c r="E110" i="4"/>
  <c r="D110" i="4"/>
  <c r="D109" i="4"/>
  <c r="E109" i="4" s="1"/>
  <c r="E108" i="4"/>
  <c r="D108" i="4"/>
  <c r="E107" i="4"/>
  <c r="D107" i="4"/>
  <c r="E106" i="4"/>
  <c r="D106" i="4"/>
  <c r="D105" i="4"/>
  <c r="E105" i="4" s="1"/>
  <c r="E104" i="4"/>
  <c r="D104" i="4"/>
  <c r="E103" i="4"/>
  <c r="D103" i="4"/>
  <c r="E102" i="4"/>
  <c r="D102" i="4"/>
  <c r="D101" i="4"/>
  <c r="E101" i="4" s="1"/>
  <c r="D100" i="4"/>
  <c r="E100" i="4" s="1"/>
  <c r="D99" i="4"/>
  <c r="E99" i="4" s="1"/>
  <c r="E98" i="4"/>
  <c r="D98" i="4"/>
  <c r="D97" i="4"/>
  <c r="E97" i="4" s="1"/>
  <c r="D96" i="4"/>
  <c r="E96" i="4" s="1"/>
  <c r="D95" i="4"/>
  <c r="E95" i="4" s="1"/>
  <c r="E94" i="4"/>
  <c r="D94" i="4"/>
  <c r="D93" i="4"/>
  <c r="E93" i="4" s="1"/>
  <c r="E92" i="4"/>
  <c r="D92" i="4"/>
  <c r="E91" i="4"/>
  <c r="D91" i="4"/>
  <c r="E90" i="4"/>
  <c r="D90" i="4"/>
  <c r="D89" i="4"/>
  <c r="E89" i="4" s="1"/>
  <c r="E88" i="4"/>
  <c r="D88" i="4"/>
  <c r="E87" i="4"/>
  <c r="D87" i="4"/>
  <c r="E86" i="4"/>
  <c r="D86" i="4"/>
  <c r="D85" i="4"/>
  <c r="E85" i="4" s="1"/>
  <c r="D84" i="4"/>
  <c r="E84" i="4" s="1"/>
  <c r="D83" i="4"/>
  <c r="E83" i="4" s="1"/>
  <c r="E82" i="4"/>
  <c r="D82" i="4"/>
  <c r="D81" i="4"/>
  <c r="E81" i="4" s="1"/>
  <c r="D80" i="4"/>
  <c r="E80" i="4" s="1"/>
  <c r="D79" i="4"/>
  <c r="E79" i="4" s="1"/>
  <c r="E78" i="4"/>
  <c r="D78" i="4"/>
  <c r="D77" i="4"/>
  <c r="E77" i="4" s="1"/>
  <c r="E76" i="4"/>
  <c r="D76" i="4"/>
  <c r="E75" i="4"/>
  <c r="D75" i="4"/>
  <c r="E74" i="4"/>
  <c r="D74" i="4"/>
  <c r="D73" i="4"/>
  <c r="E73" i="4" s="1"/>
  <c r="E72" i="4"/>
  <c r="D72" i="4"/>
  <c r="E71" i="4"/>
  <c r="D71" i="4"/>
  <c r="E70" i="4"/>
  <c r="D70" i="4"/>
  <c r="D69" i="4"/>
  <c r="E69" i="4" s="1"/>
  <c r="D68" i="4"/>
  <c r="E68" i="4" s="1"/>
  <c r="D67" i="4"/>
  <c r="E67" i="4" s="1"/>
  <c r="D66" i="4"/>
  <c r="E66" i="4" s="1"/>
  <c r="E65" i="4"/>
  <c r="D65" i="4"/>
  <c r="E64" i="4"/>
  <c r="D64" i="4"/>
  <c r="D63" i="4"/>
  <c r="E63" i="4" s="1"/>
  <c r="D62" i="4"/>
  <c r="E62" i="4" s="1"/>
  <c r="E61" i="4"/>
  <c r="D61" i="4"/>
  <c r="E60" i="4"/>
  <c r="D60" i="4"/>
  <c r="D59" i="4"/>
  <c r="E59" i="4" s="1"/>
  <c r="D58" i="4"/>
  <c r="E58" i="4" s="1"/>
  <c r="E57" i="4"/>
  <c r="D57" i="4"/>
  <c r="E56" i="4"/>
  <c r="D56" i="4"/>
  <c r="D55" i="4"/>
  <c r="E55" i="4" s="1"/>
  <c r="D54" i="4"/>
  <c r="E54" i="4" s="1"/>
  <c r="E53" i="4"/>
  <c r="D53" i="4"/>
  <c r="E52" i="4"/>
  <c r="D52" i="4"/>
  <c r="D51" i="4"/>
  <c r="E51" i="4" s="1"/>
  <c r="D50" i="4"/>
  <c r="E50" i="4" s="1"/>
  <c r="E49" i="4"/>
  <c r="D49" i="4"/>
  <c r="E48" i="4"/>
  <c r="D48" i="4"/>
  <c r="D47" i="4"/>
  <c r="E47" i="4" s="1"/>
  <c r="D46" i="4"/>
  <c r="E46" i="4" s="1"/>
  <c r="E45" i="4"/>
  <c r="D45" i="4"/>
  <c r="E44" i="4"/>
  <c r="D44" i="4"/>
  <c r="D43" i="4"/>
  <c r="E43" i="4" s="1"/>
  <c r="D42" i="4"/>
  <c r="E42" i="4" s="1"/>
  <c r="E41" i="4"/>
  <c r="D41" i="4"/>
  <c r="E40" i="4"/>
  <c r="D40" i="4"/>
  <c r="D39" i="4"/>
  <c r="E39" i="4" s="1"/>
  <c r="D38" i="4"/>
  <c r="E38" i="4" s="1"/>
  <c r="E37" i="4"/>
  <c r="D37" i="4"/>
  <c r="E36" i="4"/>
  <c r="D36" i="4"/>
  <c r="D35" i="4"/>
  <c r="E35" i="4" s="1"/>
  <c r="D34" i="4"/>
  <c r="E34" i="4" s="1"/>
  <c r="D33" i="4"/>
  <c r="E33" i="4" s="1"/>
  <c r="E32" i="4"/>
  <c r="D32" i="4"/>
  <c r="D31" i="4"/>
  <c r="E31" i="4" s="1"/>
  <c r="D30" i="4"/>
  <c r="E30" i="4" s="1"/>
  <c r="E29" i="4"/>
  <c r="D29" i="4"/>
  <c r="D28" i="4"/>
  <c r="E28" i="4" s="1"/>
  <c r="E27" i="4"/>
  <c r="D27" i="4"/>
  <c r="D26" i="4"/>
  <c r="E26" i="4" s="1"/>
  <c r="E25" i="4"/>
  <c r="D25" i="4"/>
  <c r="D24" i="4"/>
  <c r="E24" i="4" s="1"/>
  <c r="E23" i="4"/>
  <c r="D23" i="4"/>
  <c r="D22" i="4"/>
  <c r="E22" i="4" s="1"/>
  <c r="E21" i="4"/>
  <c r="D21" i="4"/>
  <c r="D20" i="4"/>
  <c r="E20" i="4" s="1"/>
  <c r="E19" i="4"/>
  <c r="D19" i="4"/>
  <c r="D18" i="4"/>
  <c r="E18" i="4" s="1"/>
  <c r="E17" i="4"/>
  <c r="D17" i="4"/>
  <c r="D16" i="4"/>
  <c r="E16" i="4" s="1"/>
  <c r="E15" i="4"/>
  <c r="D15" i="4"/>
  <c r="D14" i="4"/>
  <c r="E14" i="4" s="1"/>
  <c r="E13" i="4"/>
  <c r="D13" i="4"/>
  <c r="D12" i="4"/>
  <c r="E12" i="4" s="1"/>
  <c r="E11" i="4"/>
  <c r="D11" i="4"/>
  <c r="D10" i="4"/>
  <c r="E10" i="4" s="1"/>
  <c r="E9" i="4"/>
  <c r="D9" i="4"/>
  <c r="D8" i="4"/>
  <c r="E8" i="4" s="1"/>
  <c r="E7" i="4"/>
  <c r="D7" i="4"/>
  <c r="D6" i="4"/>
  <c r="E6" i="4" s="1"/>
  <c r="D5" i="4"/>
  <c r="E5" i="4" s="1"/>
  <c r="D4" i="4"/>
  <c r="E4" i="4" s="1"/>
  <c r="E3" i="4"/>
  <c r="D3" i="4"/>
  <c r="D2" i="4"/>
  <c r="E2" i="4" s="1"/>
  <c r="L9" i="1"/>
  <c r="C3" i="1"/>
  <c r="F58" i="2"/>
  <c r="C2" i="2"/>
  <c r="F22" i="2" s="1"/>
  <c r="A4" i="3"/>
  <c r="B3" i="3" s="1"/>
  <c r="V179" i="2"/>
  <c r="R179" i="2"/>
  <c r="O179" i="2"/>
  <c r="L179" i="2"/>
  <c r="I179" i="2"/>
  <c r="E179" i="2"/>
  <c r="F179" i="2" s="1"/>
  <c r="D179" i="2"/>
  <c r="C179" i="2"/>
  <c r="V178" i="2"/>
  <c r="R178" i="2"/>
  <c r="O178" i="2"/>
  <c r="L178" i="2"/>
  <c r="I178" i="2"/>
  <c r="E178" i="2"/>
  <c r="F178" i="2" s="1"/>
  <c r="D178" i="2"/>
  <c r="C178" i="2"/>
  <c r="V177" i="2"/>
  <c r="R177" i="2"/>
  <c r="O177" i="2"/>
  <c r="L177" i="2"/>
  <c r="I177" i="2"/>
  <c r="K177" i="2" s="1"/>
  <c r="G177" i="2"/>
  <c r="D177" i="2"/>
  <c r="E177" i="2" s="1"/>
  <c r="F177" i="2" s="1"/>
  <c r="W177" i="2" s="1"/>
  <c r="Y177" i="2" s="1"/>
  <c r="C177" i="2"/>
  <c r="V176" i="2"/>
  <c r="R176" i="2"/>
  <c r="O176" i="2"/>
  <c r="L176" i="2"/>
  <c r="I176" i="2"/>
  <c r="E176" i="2"/>
  <c r="F176" i="2" s="1"/>
  <c r="D176" i="2"/>
  <c r="C176" i="2"/>
  <c r="V175" i="2"/>
  <c r="R175" i="2"/>
  <c r="O175" i="2"/>
  <c r="L175" i="2"/>
  <c r="I175" i="2"/>
  <c r="D175" i="2"/>
  <c r="E175" i="2" s="1"/>
  <c r="F175" i="2" s="1"/>
  <c r="C175" i="2"/>
  <c r="V174" i="2"/>
  <c r="R174" i="2"/>
  <c r="S174" i="2" s="1"/>
  <c r="T174" i="2" s="1"/>
  <c r="O174" i="2"/>
  <c r="L174" i="2"/>
  <c r="I174" i="2"/>
  <c r="F174" i="2"/>
  <c r="E174" i="2"/>
  <c r="D174" i="2"/>
  <c r="C174" i="2"/>
  <c r="V173" i="2"/>
  <c r="R173" i="2"/>
  <c r="O173" i="2"/>
  <c r="L173" i="2"/>
  <c r="I173" i="2"/>
  <c r="D173" i="2"/>
  <c r="E173" i="2" s="1"/>
  <c r="F173" i="2" s="1"/>
  <c r="C173" i="2"/>
  <c r="V172" i="2"/>
  <c r="R172" i="2"/>
  <c r="O172" i="2"/>
  <c r="L172" i="2"/>
  <c r="K172" i="2"/>
  <c r="I172" i="2"/>
  <c r="D172" i="2"/>
  <c r="E172" i="2" s="1"/>
  <c r="F172" i="2" s="1"/>
  <c r="C172" i="2"/>
  <c r="V171" i="2"/>
  <c r="R171" i="2"/>
  <c r="O171" i="2"/>
  <c r="L171" i="2"/>
  <c r="I171" i="2"/>
  <c r="D171" i="2"/>
  <c r="E171" i="2" s="1"/>
  <c r="F171" i="2" s="1"/>
  <c r="C171" i="2"/>
  <c r="V170" i="2"/>
  <c r="R170" i="2"/>
  <c r="O170" i="2"/>
  <c r="L170" i="2"/>
  <c r="I170" i="2"/>
  <c r="E170" i="2"/>
  <c r="D170" i="2"/>
  <c r="C170" i="2"/>
  <c r="V169" i="2"/>
  <c r="R169" i="2"/>
  <c r="O169" i="2"/>
  <c r="L169" i="2"/>
  <c r="I169" i="2"/>
  <c r="G169" i="2"/>
  <c r="D169" i="2"/>
  <c r="E169" i="2" s="1"/>
  <c r="F169" i="2" s="1"/>
  <c r="C169" i="2"/>
  <c r="V168" i="2"/>
  <c r="R168" i="2"/>
  <c r="O168" i="2"/>
  <c r="L168" i="2"/>
  <c r="I168" i="2"/>
  <c r="E168" i="2"/>
  <c r="D168" i="2"/>
  <c r="C168" i="2"/>
  <c r="V167" i="2"/>
  <c r="R167" i="2"/>
  <c r="O167" i="2"/>
  <c r="L167" i="2"/>
  <c r="I167" i="2"/>
  <c r="D167" i="2"/>
  <c r="E167" i="2" s="1"/>
  <c r="F167" i="2" s="1"/>
  <c r="C167" i="2"/>
  <c r="V166" i="2"/>
  <c r="R166" i="2"/>
  <c r="S166" i="2" s="1"/>
  <c r="T166" i="2" s="1"/>
  <c r="O166" i="2"/>
  <c r="L166" i="2"/>
  <c r="I166" i="2"/>
  <c r="G166" i="2"/>
  <c r="F166" i="2"/>
  <c r="E166" i="2"/>
  <c r="D166" i="2"/>
  <c r="C166" i="2"/>
  <c r="V165" i="2"/>
  <c r="R165" i="2"/>
  <c r="O165" i="2"/>
  <c r="M165" i="2"/>
  <c r="L165" i="2"/>
  <c r="I165" i="2"/>
  <c r="D165" i="2"/>
  <c r="E165" i="2" s="1"/>
  <c r="F165" i="2" s="1"/>
  <c r="C165" i="2"/>
  <c r="V164" i="2"/>
  <c r="R164" i="2"/>
  <c r="O164" i="2"/>
  <c r="L164" i="2"/>
  <c r="I164" i="2"/>
  <c r="D164" i="2"/>
  <c r="E164" i="2" s="1"/>
  <c r="C164" i="2"/>
  <c r="V163" i="2"/>
  <c r="R163" i="2"/>
  <c r="O163" i="2"/>
  <c r="L163" i="2"/>
  <c r="K163" i="2"/>
  <c r="I163" i="2"/>
  <c r="D163" i="2"/>
  <c r="E163" i="2" s="1"/>
  <c r="F163" i="2" s="1"/>
  <c r="C163" i="2"/>
  <c r="V162" i="2"/>
  <c r="R162" i="2"/>
  <c r="P162" i="2"/>
  <c r="O162" i="2"/>
  <c r="L162" i="2"/>
  <c r="K162" i="2"/>
  <c r="I162" i="2"/>
  <c r="E162" i="2"/>
  <c r="F162" i="2" s="1"/>
  <c r="D162" i="2"/>
  <c r="C162" i="2"/>
  <c r="V161" i="2"/>
  <c r="R161" i="2"/>
  <c r="O161" i="2"/>
  <c r="L161" i="2"/>
  <c r="I161" i="2"/>
  <c r="D161" i="2"/>
  <c r="E161" i="2" s="1"/>
  <c r="F161" i="2" s="1"/>
  <c r="C161" i="2"/>
  <c r="V160" i="2"/>
  <c r="R160" i="2"/>
  <c r="O160" i="2"/>
  <c r="L160" i="2"/>
  <c r="I160" i="2"/>
  <c r="E160" i="2"/>
  <c r="D160" i="2"/>
  <c r="C160" i="2"/>
  <c r="V159" i="2"/>
  <c r="R159" i="2"/>
  <c r="O159" i="2"/>
  <c r="L159" i="2"/>
  <c r="I159" i="2"/>
  <c r="F159" i="2"/>
  <c r="D159" i="2"/>
  <c r="E159" i="2" s="1"/>
  <c r="C159" i="2"/>
  <c r="V158" i="2"/>
  <c r="R158" i="2"/>
  <c r="O158" i="2"/>
  <c r="M158" i="2"/>
  <c r="L158" i="2"/>
  <c r="I158" i="2"/>
  <c r="F158" i="2"/>
  <c r="E158" i="2"/>
  <c r="D158" i="2"/>
  <c r="C158" i="2"/>
  <c r="V157" i="2"/>
  <c r="R157" i="2"/>
  <c r="O157" i="2"/>
  <c r="L157" i="2"/>
  <c r="I157" i="2"/>
  <c r="D157" i="2"/>
  <c r="E157" i="2" s="1"/>
  <c r="F157" i="2" s="1"/>
  <c r="C157" i="2"/>
  <c r="V156" i="2"/>
  <c r="R156" i="2"/>
  <c r="O156" i="2"/>
  <c r="L156" i="2"/>
  <c r="I156" i="2"/>
  <c r="D156" i="2"/>
  <c r="E156" i="2" s="1"/>
  <c r="F156" i="2" s="1"/>
  <c r="C156" i="2"/>
  <c r="V155" i="2"/>
  <c r="R155" i="2"/>
  <c r="O155" i="2"/>
  <c r="L155" i="2"/>
  <c r="I155" i="2"/>
  <c r="D155" i="2"/>
  <c r="E155" i="2" s="1"/>
  <c r="C155" i="2"/>
  <c r="V154" i="2"/>
  <c r="R154" i="2"/>
  <c r="O154" i="2"/>
  <c r="L154" i="2"/>
  <c r="I154" i="2"/>
  <c r="E154" i="2"/>
  <c r="F154" i="2" s="1"/>
  <c r="D154" i="2"/>
  <c r="C154" i="2"/>
  <c r="W153" i="2"/>
  <c r="Y153" i="2" s="1"/>
  <c r="V153" i="2"/>
  <c r="R153" i="2"/>
  <c r="O153" i="2"/>
  <c r="L153" i="2"/>
  <c r="I153" i="2"/>
  <c r="K153" i="2" s="1"/>
  <c r="D153" i="2"/>
  <c r="E153" i="2" s="1"/>
  <c r="F153" i="2" s="1"/>
  <c r="C153" i="2"/>
  <c r="V152" i="2"/>
  <c r="R152" i="2"/>
  <c r="O152" i="2"/>
  <c r="L152" i="2"/>
  <c r="I152" i="2"/>
  <c r="E152" i="2"/>
  <c r="D152" i="2"/>
  <c r="C152" i="2"/>
  <c r="V151" i="2"/>
  <c r="R151" i="2"/>
  <c r="O151" i="2"/>
  <c r="L151" i="2"/>
  <c r="I151" i="2"/>
  <c r="F151" i="2"/>
  <c r="D151" i="2"/>
  <c r="E151" i="2" s="1"/>
  <c r="C151" i="2"/>
  <c r="V150" i="2"/>
  <c r="S150" i="2"/>
  <c r="T150" i="2" s="1"/>
  <c r="R150" i="2"/>
  <c r="O150" i="2"/>
  <c r="L150" i="2"/>
  <c r="M150" i="2" s="1"/>
  <c r="I150" i="2"/>
  <c r="F150" i="2"/>
  <c r="E150" i="2"/>
  <c r="D150" i="2"/>
  <c r="C150" i="2"/>
  <c r="V149" i="2"/>
  <c r="R149" i="2"/>
  <c r="O149" i="2"/>
  <c r="L149" i="2"/>
  <c r="I149" i="2"/>
  <c r="F149" i="2"/>
  <c r="D149" i="2"/>
  <c r="E149" i="2" s="1"/>
  <c r="C149" i="2"/>
  <c r="V148" i="2"/>
  <c r="R148" i="2"/>
  <c r="O148" i="2"/>
  <c r="L148" i="2"/>
  <c r="I148" i="2"/>
  <c r="D148" i="2"/>
  <c r="E148" i="2" s="1"/>
  <c r="C148" i="2"/>
  <c r="V147" i="2"/>
  <c r="R147" i="2"/>
  <c r="O147" i="2"/>
  <c r="L147" i="2"/>
  <c r="I147" i="2"/>
  <c r="E147" i="2"/>
  <c r="D147" i="2"/>
  <c r="C147" i="2"/>
  <c r="V146" i="2"/>
  <c r="R146" i="2"/>
  <c r="O146" i="2"/>
  <c r="L146" i="2"/>
  <c r="I146" i="2"/>
  <c r="D146" i="2"/>
  <c r="E146" i="2" s="1"/>
  <c r="F146" i="2" s="1"/>
  <c r="C146" i="2"/>
  <c r="V145" i="2"/>
  <c r="R145" i="2"/>
  <c r="O145" i="2"/>
  <c r="L145" i="2"/>
  <c r="K145" i="2"/>
  <c r="I145" i="2"/>
  <c r="E145" i="2"/>
  <c r="F145" i="2" s="1"/>
  <c r="D145" i="2"/>
  <c r="C145" i="2"/>
  <c r="V144" i="2"/>
  <c r="R144" i="2"/>
  <c r="O144" i="2"/>
  <c r="L144" i="2"/>
  <c r="I144" i="2"/>
  <c r="D144" i="2"/>
  <c r="E144" i="2" s="1"/>
  <c r="C144" i="2"/>
  <c r="V143" i="2"/>
  <c r="R143" i="2"/>
  <c r="O143" i="2"/>
  <c r="L143" i="2"/>
  <c r="I143" i="2"/>
  <c r="D143" i="2"/>
  <c r="E143" i="2" s="1"/>
  <c r="C143" i="2"/>
  <c r="V142" i="2"/>
  <c r="R142" i="2"/>
  <c r="O142" i="2"/>
  <c r="L142" i="2"/>
  <c r="I142" i="2"/>
  <c r="E142" i="2"/>
  <c r="F142" i="2" s="1"/>
  <c r="D142" i="2"/>
  <c r="C142" i="2"/>
  <c r="V141" i="2"/>
  <c r="R141" i="2"/>
  <c r="O141" i="2"/>
  <c r="L141" i="2"/>
  <c r="I141" i="2"/>
  <c r="E141" i="2"/>
  <c r="F141" i="2" s="1"/>
  <c r="D141" i="2"/>
  <c r="C141" i="2"/>
  <c r="V140" i="2"/>
  <c r="R140" i="2"/>
  <c r="O140" i="2"/>
  <c r="L140" i="2"/>
  <c r="I140" i="2"/>
  <c r="E140" i="2"/>
  <c r="D140" i="2"/>
  <c r="C140" i="2"/>
  <c r="V139" i="2"/>
  <c r="R139" i="2"/>
  <c r="O139" i="2"/>
  <c r="L139" i="2"/>
  <c r="I139" i="2"/>
  <c r="D139" i="2"/>
  <c r="E139" i="2" s="1"/>
  <c r="C139" i="2"/>
  <c r="V138" i="2"/>
  <c r="R138" i="2"/>
  <c r="O138" i="2"/>
  <c r="L138" i="2"/>
  <c r="I138" i="2"/>
  <c r="E138" i="2"/>
  <c r="F138" i="2" s="1"/>
  <c r="D138" i="2"/>
  <c r="C138" i="2"/>
  <c r="V137" i="2"/>
  <c r="R137" i="2"/>
  <c r="O137" i="2"/>
  <c r="L137" i="2"/>
  <c r="I137" i="2"/>
  <c r="E137" i="2"/>
  <c r="F137" i="2" s="1"/>
  <c r="D137" i="2"/>
  <c r="C137" i="2"/>
  <c r="W136" i="2"/>
  <c r="Y136" i="2" s="1"/>
  <c r="V136" i="2"/>
  <c r="R136" i="2"/>
  <c r="O136" i="2"/>
  <c r="L136" i="2"/>
  <c r="I136" i="2"/>
  <c r="E136" i="2"/>
  <c r="D136" i="2"/>
  <c r="C136" i="2"/>
  <c r="V135" i="2"/>
  <c r="R135" i="2"/>
  <c r="O135" i="2"/>
  <c r="L135" i="2"/>
  <c r="I135" i="2"/>
  <c r="D135" i="2"/>
  <c r="E135" i="2" s="1"/>
  <c r="C135" i="2"/>
  <c r="V134" i="2"/>
  <c r="R134" i="2"/>
  <c r="O134" i="2"/>
  <c r="L134" i="2"/>
  <c r="I134" i="2"/>
  <c r="D134" i="2"/>
  <c r="E134" i="2" s="1"/>
  <c r="F134" i="2" s="1"/>
  <c r="C134" i="2"/>
  <c r="V133" i="2"/>
  <c r="R133" i="2"/>
  <c r="P133" i="2"/>
  <c r="O133" i="2"/>
  <c r="L133" i="2"/>
  <c r="I133" i="2"/>
  <c r="F133" i="2"/>
  <c r="E133" i="2"/>
  <c r="D133" i="2"/>
  <c r="C133" i="2"/>
  <c r="V132" i="2"/>
  <c r="R132" i="2"/>
  <c r="O132" i="2"/>
  <c r="L132" i="2"/>
  <c r="I132" i="2"/>
  <c r="E132" i="2"/>
  <c r="D132" i="2"/>
  <c r="C132" i="2"/>
  <c r="V131" i="2"/>
  <c r="R131" i="2"/>
  <c r="O131" i="2"/>
  <c r="L131" i="2"/>
  <c r="I131" i="2"/>
  <c r="D131" i="2"/>
  <c r="E131" i="2" s="1"/>
  <c r="C131" i="2"/>
  <c r="V130" i="2"/>
  <c r="R130" i="2"/>
  <c r="O130" i="2"/>
  <c r="L130" i="2"/>
  <c r="I130" i="2"/>
  <c r="D130" i="2"/>
  <c r="E130" i="2" s="1"/>
  <c r="F130" i="2" s="1"/>
  <c r="C130" i="2"/>
  <c r="V129" i="2"/>
  <c r="R129" i="2"/>
  <c r="O129" i="2"/>
  <c r="L129" i="2"/>
  <c r="I129" i="2"/>
  <c r="F129" i="2"/>
  <c r="E129" i="2"/>
  <c r="D129" i="2"/>
  <c r="C129" i="2"/>
  <c r="V128" i="2"/>
  <c r="R128" i="2"/>
  <c r="O128" i="2"/>
  <c r="L128" i="2"/>
  <c r="I128" i="2"/>
  <c r="D128" i="2"/>
  <c r="E128" i="2" s="1"/>
  <c r="C128" i="2"/>
  <c r="V127" i="2"/>
  <c r="R127" i="2"/>
  <c r="O127" i="2"/>
  <c r="L127" i="2"/>
  <c r="I127" i="2"/>
  <c r="D127" i="2"/>
  <c r="E127" i="2" s="1"/>
  <c r="C127" i="2"/>
  <c r="V126" i="2"/>
  <c r="R126" i="2"/>
  <c r="O126" i="2"/>
  <c r="L126" i="2"/>
  <c r="I126" i="2"/>
  <c r="K126" i="2" s="1"/>
  <c r="D126" i="2"/>
  <c r="E126" i="2" s="1"/>
  <c r="F126" i="2" s="1"/>
  <c r="C126" i="2"/>
  <c r="V125" i="2"/>
  <c r="R125" i="2"/>
  <c r="O125" i="2"/>
  <c r="L125" i="2"/>
  <c r="I125" i="2"/>
  <c r="E125" i="2"/>
  <c r="D125" i="2"/>
  <c r="C125" i="2"/>
  <c r="V124" i="2"/>
  <c r="R124" i="2"/>
  <c r="O124" i="2"/>
  <c r="L124" i="2"/>
  <c r="I124" i="2"/>
  <c r="D124" i="2"/>
  <c r="E124" i="2" s="1"/>
  <c r="F124" i="2" s="1"/>
  <c r="C124" i="2"/>
  <c r="F144" i="2" s="1"/>
  <c r="V123" i="2"/>
  <c r="S123" i="2"/>
  <c r="T123" i="2" s="1"/>
  <c r="R123" i="2"/>
  <c r="O123" i="2"/>
  <c r="M123" i="2"/>
  <c r="L123" i="2"/>
  <c r="I123" i="2"/>
  <c r="D123" i="2"/>
  <c r="E123" i="2" s="1"/>
  <c r="F123" i="2" s="1"/>
  <c r="C123" i="2"/>
  <c r="V122" i="2"/>
  <c r="R122" i="2"/>
  <c r="O122" i="2"/>
  <c r="L122" i="2"/>
  <c r="K122" i="2"/>
  <c r="I122" i="2"/>
  <c r="D122" i="2"/>
  <c r="E122" i="2" s="1"/>
  <c r="F122" i="2" s="1"/>
  <c r="C122" i="2"/>
  <c r="W121" i="2"/>
  <c r="Y121" i="2" s="1"/>
  <c r="V121" i="2"/>
  <c r="R121" i="2"/>
  <c r="O121" i="2"/>
  <c r="L121" i="2"/>
  <c r="I121" i="2"/>
  <c r="F121" i="2"/>
  <c r="E121" i="2"/>
  <c r="D121" i="2"/>
  <c r="C121" i="2"/>
  <c r="V120" i="2"/>
  <c r="R120" i="2"/>
  <c r="O120" i="2"/>
  <c r="L120" i="2"/>
  <c r="I120" i="2"/>
  <c r="D120" i="2"/>
  <c r="E120" i="2" s="1"/>
  <c r="C120" i="2"/>
  <c r="F140" i="2" s="1"/>
  <c r="V119" i="2"/>
  <c r="R119" i="2"/>
  <c r="O119" i="2"/>
  <c r="L119" i="2"/>
  <c r="I119" i="2"/>
  <c r="D119" i="2"/>
  <c r="E119" i="2" s="1"/>
  <c r="F119" i="2" s="1"/>
  <c r="C119" i="2"/>
  <c r="V118" i="2"/>
  <c r="R118" i="2"/>
  <c r="P118" i="2"/>
  <c r="O118" i="2"/>
  <c r="L118" i="2"/>
  <c r="I118" i="2"/>
  <c r="K118" i="2" s="1"/>
  <c r="D118" i="2"/>
  <c r="E118" i="2" s="1"/>
  <c r="F118" i="2" s="1"/>
  <c r="C118" i="2"/>
  <c r="V117" i="2"/>
  <c r="R117" i="2"/>
  <c r="O117" i="2"/>
  <c r="L117" i="2"/>
  <c r="I117" i="2"/>
  <c r="E117" i="2"/>
  <c r="D117" i="2"/>
  <c r="C117" i="2"/>
  <c r="V116" i="2"/>
  <c r="S116" i="2"/>
  <c r="T116" i="2" s="1"/>
  <c r="R116" i="2"/>
  <c r="O116" i="2"/>
  <c r="L116" i="2"/>
  <c r="I116" i="2"/>
  <c r="K116" i="2" s="1"/>
  <c r="D116" i="2"/>
  <c r="E116" i="2" s="1"/>
  <c r="F116" i="2" s="1"/>
  <c r="C116" i="2"/>
  <c r="F136" i="2" s="1"/>
  <c r="V115" i="2"/>
  <c r="R115" i="2"/>
  <c r="O115" i="2"/>
  <c r="M115" i="2"/>
  <c r="L115" i="2"/>
  <c r="I115" i="2"/>
  <c r="D115" i="2"/>
  <c r="E115" i="2" s="1"/>
  <c r="F115" i="2" s="1"/>
  <c r="C115" i="2"/>
  <c r="V114" i="2"/>
  <c r="R114" i="2"/>
  <c r="O114" i="2"/>
  <c r="L114" i="2"/>
  <c r="I114" i="2"/>
  <c r="K114" i="2" s="1"/>
  <c r="D114" i="2"/>
  <c r="E114" i="2" s="1"/>
  <c r="F114" i="2" s="1"/>
  <c r="C114" i="2"/>
  <c r="W113" i="2"/>
  <c r="Y113" i="2" s="1"/>
  <c r="V113" i="2"/>
  <c r="R113" i="2"/>
  <c r="O113" i="2"/>
  <c r="L113" i="2"/>
  <c r="I113" i="2"/>
  <c r="F113" i="2"/>
  <c r="E113" i="2"/>
  <c r="D113" i="2"/>
  <c r="C113" i="2"/>
  <c r="V112" i="2"/>
  <c r="R112" i="2"/>
  <c r="O112" i="2"/>
  <c r="L112" i="2"/>
  <c r="I112" i="2"/>
  <c r="D112" i="2"/>
  <c r="E112" i="2" s="1"/>
  <c r="F112" i="2" s="1"/>
  <c r="C112" i="2"/>
  <c r="F132" i="2" s="1"/>
  <c r="V111" i="2"/>
  <c r="S111" i="2"/>
  <c r="T111" i="2" s="1"/>
  <c r="R111" i="2"/>
  <c r="O111" i="2"/>
  <c r="M111" i="2"/>
  <c r="L111" i="2"/>
  <c r="I111" i="2"/>
  <c r="D111" i="2"/>
  <c r="E111" i="2" s="1"/>
  <c r="F111" i="2" s="1"/>
  <c r="C111" i="2"/>
  <c r="V110" i="2"/>
  <c r="R110" i="2"/>
  <c r="O110" i="2"/>
  <c r="L110" i="2"/>
  <c r="I110" i="2"/>
  <c r="K110" i="2" s="1"/>
  <c r="D110" i="2"/>
  <c r="E110" i="2" s="1"/>
  <c r="F110" i="2" s="1"/>
  <c r="C110" i="2"/>
  <c r="V109" i="2"/>
  <c r="R109" i="2"/>
  <c r="O109" i="2"/>
  <c r="L109" i="2"/>
  <c r="I109" i="2"/>
  <c r="F109" i="2"/>
  <c r="E109" i="2"/>
  <c r="D109" i="2"/>
  <c r="C109" i="2"/>
  <c r="V108" i="2"/>
  <c r="R108" i="2"/>
  <c r="O108" i="2"/>
  <c r="L108" i="2"/>
  <c r="I108" i="2"/>
  <c r="D108" i="2"/>
  <c r="E108" i="2" s="1"/>
  <c r="F108" i="2" s="1"/>
  <c r="C108" i="2"/>
  <c r="V107" i="2"/>
  <c r="S107" i="2"/>
  <c r="T107" i="2" s="1"/>
  <c r="R107" i="2"/>
  <c r="O107" i="2"/>
  <c r="L107" i="2"/>
  <c r="I107" i="2"/>
  <c r="K107" i="2" s="1"/>
  <c r="D107" i="2"/>
  <c r="E107" i="2" s="1"/>
  <c r="F107" i="2" s="1"/>
  <c r="C107" i="2"/>
  <c r="V106" i="2"/>
  <c r="R106" i="2"/>
  <c r="O106" i="2"/>
  <c r="L106" i="2"/>
  <c r="I106" i="2"/>
  <c r="D106" i="2"/>
  <c r="E106" i="2" s="1"/>
  <c r="F106" i="2" s="1"/>
  <c r="C106" i="2"/>
  <c r="V105" i="2"/>
  <c r="S105" i="2"/>
  <c r="T105" i="2" s="1"/>
  <c r="R105" i="2"/>
  <c r="O105" i="2"/>
  <c r="L105" i="2"/>
  <c r="I105" i="2"/>
  <c r="E105" i="2"/>
  <c r="F105" i="2" s="1"/>
  <c r="D105" i="2"/>
  <c r="C105" i="2"/>
  <c r="F125" i="2" s="1"/>
  <c r="V104" i="2"/>
  <c r="R104" i="2"/>
  <c r="O104" i="2"/>
  <c r="L104" i="2"/>
  <c r="I104" i="2"/>
  <c r="G104" i="2"/>
  <c r="D104" i="2"/>
  <c r="E104" i="2" s="1"/>
  <c r="C104" i="2"/>
  <c r="V103" i="2"/>
  <c r="R103" i="2"/>
  <c r="O103" i="2"/>
  <c r="L103" i="2"/>
  <c r="I103" i="2"/>
  <c r="E103" i="2"/>
  <c r="D103" i="2"/>
  <c r="C103" i="2"/>
  <c r="V102" i="2"/>
  <c r="R102" i="2"/>
  <c r="O102" i="2"/>
  <c r="L102" i="2"/>
  <c r="I102" i="2"/>
  <c r="E102" i="2"/>
  <c r="F102" i="2" s="1"/>
  <c r="D102" i="2"/>
  <c r="C102" i="2"/>
  <c r="V101" i="2"/>
  <c r="R101" i="2"/>
  <c r="O101" i="2"/>
  <c r="L101" i="2"/>
  <c r="I101" i="2"/>
  <c r="E101" i="2"/>
  <c r="F101" i="2" s="1"/>
  <c r="D101" i="2"/>
  <c r="C101" i="2"/>
  <c r="W100" i="2"/>
  <c r="Y100" i="2" s="1"/>
  <c r="V100" i="2"/>
  <c r="R100" i="2"/>
  <c r="O100" i="2"/>
  <c r="L100" i="2"/>
  <c r="I100" i="2"/>
  <c r="D100" i="2"/>
  <c r="E100" i="2" s="1"/>
  <c r="F100" i="2" s="1"/>
  <c r="C100" i="2"/>
  <c r="V99" i="2"/>
  <c r="R99" i="2"/>
  <c r="O99" i="2"/>
  <c r="L99" i="2"/>
  <c r="I99" i="2"/>
  <c r="D99" i="2"/>
  <c r="E99" i="2" s="1"/>
  <c r="C99" i="2"/>
  <c r="V98" i="2"/>
  <c r="R98" i="2"/>
  <c r="O98" i="2"/>
  <c r="L98" i="2"/>
  <c r="I98" i="2"/>
  <c r="D98" i="2"/>
  <c r="E98" i="2" s="1"/>
  <c r="C98" i="2"/>
  <c r="V97" i="2"/>
  <c r="S97" i="2"/>
  <c r="T97" i="2" s="1"/>
  <c r="R97" i="2"/>
  <c r="O97" i="2"/>
  <c r="L97" i="2"/>
  <c r="I97" i="2"/>
  <c r="G97" i="2"/>
  <c r="E97" i="2"/>
  <c r="F97" i="2" s="1"/>
  <c r="D97" i="2"/>
  <c r="C97" i="2"/>
  <c r="F117" i="2" s="1"/>
  <c r="V96" i="2"/>
  <c r="R96" i="2"/>
  <c r="O96" i="2"/>
  <c r="L96" i="2"/>
  <c r="I96" i="2"/>
  <c r="G96" i="2"/>
  <c r="F96" i="2"/>
  <c r="D96" i="2"/>
  <c r="E96" i="2" s="1"/>
  <c r="C96" i="2"/>
  <c r="V95" i="2"/>
  <c r="R95" i="2"/>
  <c r="O95" i="2"/>
  <c r="L95" i="2"/>
  <c r="I95" i="2"/>
  <c r="E95" i="2"/>
  <c r="D95" i="2"/>
  <c r="C95" i="2"/>
  <c r="V94" i="2"/>
  <c r="R94" i="2"/>
  <c r="O94" i="2"/>
  <c r="L94" i="2"/>
  <c r="I94" i="2"/>
  <c r="E94" i="2"/>
  <c r="D94" i="2"/>
  <c r="C94" i="2"/>
  <c r="V93" i="2"/>
  <c r="R93" i="2"/>
  <c r="P93" i="2"/>
  <c r="O93" i="2"/>
  <c r="L93" i="2"/>
  <c r="K93" i="2"/>
  <c r="I93" i="2"/>
  <c r="E93" i="2"/>
  <c r="F93" i="2" s="1"/>
  <c r="D93" i="2"/>
  <c r="C93" i="2"/>
  <c r="W92" i="2"/>
  <c r="Y92" i="2" s="1"/>
  <c r="V92" i="2"/>
  <c r="S92" i="2"/>
  <c r="T92" i="2" s="1"/>
  <c r="R92" i="2"/>
  <c r="O92" i="2"/>
  <c r="L92" i="2"/>
  <c r="I92" i="2"/>
  <c r="K92" i="2" s="1"/>
  <c r="D92" i="2"/>
  <c r="E92" i="2" s="1"/>
  <c r="F92" i="2" s="1"/>
  <c r="C92" i="2"/>
  <c r="V91" i="2"/>
  <c r="R91" i="2"/>
  <c r="O91" i="2"/>
  <c r="L91" i="2"/>
  <c r="I91" i="2"/>
  <c r="D91" i="2"/>
  <c r="E91" i="2" s="1"/>
  <c r="C91" i="2"/>
  <c r="V90" i="2"/>
  <c r="R90" i="2"/>
  <c r="O90" i="2"/>
  <c r="L90" i="2"/>
  <c r="I90" i="2"/>
  <c r="D90" i="2"/>
  <c r="E90" i="2" s="1"/>
  <c r="C90" i="2"/>
  <c r="V89" i="2"/>
  <c r="R89" i="2"/>
  <c r="O89" i="2"/>
  <c r="M89" i="2"/>
  <c r="L89" i="2"/>
  <c r="I89" i="2"/>
  <c r="E89" i="2"/>
  <c r="F89" i="2" s="1"/>
  <c r="D89" i="2"/>
  <c r="C89" i="2"/>
  <c r="V88" i="2"/>
  <c r="R88" i="2"/>
  <c r="O88" i="2"/>
  <c r="L88" i="2"/>
  <c r="I88" i="2"/>
  <c r="F88" i="2"/>
  <c r="M88" i="2" s="1"/>
  <c r="D88" i="2"/>
  <c r="E88" i="2" s="1"/>
  <c r="C88" i="2"/>
  <c r="V87" i="2"/>
  <c r="R87" i="2"/>
  <c r="O87" i="2"/>
  <c r="L87" i="2"/>
  <c r="I87" i="2"/>
  <c r="D87" i="2"/>
  <c r="E87" i="2" s="1"/>
  <c r="C87" i="2"/>
  <c r="V86" i="2"/>
  <c r="R86" i="2"/>
  <c r="O86" i="2"/>
  <c r="L86" i="2"/>
  <c r="I86" i="2"/>
  <c r="E86" i="2"/>
  <c r="D86" i="2"/>
  <c r="C86" i="2"/>
  <c r="V85" i="2"/>
  <c r="R85" i="2"/>
  <c r="O85" i="2"/>
  <c r="L85" i="2"/>
  <c r="I85" i="2"/>
  <c r="F85" i="2"/>
  <c r="W85" i="2" s="1"/>
  <c r="Y85" i="2" s="1"/>
  <c r="E85" i="2"/>
  <c r="D85" i="2"/>
  <c r="C85" i="2"/>
  <c r="V84" i="2"/>
  <c r="S84" i="2"/>
  <c r="T84" i="2" s="1"/>
  <c r="R84" i="2"/>
  <c r="O84" i="2"/>
  <c r="L84" i="2"/>
  <c r="I84" i="2"/>
  <c r="K84" i="2" s="1"/>
  <c r="D84" i="2"/>
  <c r="E84" i="2" s="1"/>
  <c r="F84" i="2" s="1"/>
  <c r="C84" i="2"/>
  <c r="F104" i="2" s="1"/>
  <c r="V83" i="2"/>
  <c r="R83" i="2"/>
  <c r="O83" i="2"/>
  <c r="L83" i="2"/>
  <c r="I83" i="2"/>
  <c r="D83" i="2"/>
  <c r="E83" i="2" s="1"/>
  <c r="C83" i="2"/>
  <c r="V82" i="2"/>
  <c r="R82" i="2"/>
  <c r="O82" i="2"/>
  <c r="L82" i="2"/>
  <c r="I82" i="2"/>
  <c r="D82" i="2"/>
  <c r="E82" i="2" s="1"/>
  <c r="C82" i="2"/>
  <c r="V81" i="2"/>
  <c r="R81" i="2"/>
  <c r="P81" i="2"/>
  <c r="O81" i="2"/>
  <c r="L81" i="2"/>
  <c r="K81" i="2"/>
  <c r="I81" i="2"/>
  <c r="D81" i="2"/>
  <c r="E81" i="2" s="1"/>
  <c r="F81" i="2" s="1"/>
  <c r="C81" i="2"/>
  <c r="W80" i="2"/>
  <c r="Y80" i="2" s="1"/>
  <c r="V80" i="2"/>
  <c r="R80" i="2"/>
  <c r="O80" i="2"/>
  <c r="L80" i="2"/>
  <c r="I80" i="2"/>
  <c r="F80" i="2"/>
  <c r="E80" i="2"/>
  <c r="D80" i="2"/>
  <c r="C80" i="2"/>
  <c r="V79" i="2"/>
  <c r="R79" i="2"/>
  <c r="O79" i="2"/>
  <c r="L79" i="2"/>
  <c r="I79" i="2"/>
  <c r="D79" i="2"/>
  <c r="E79" i="2" s="1"/>
  <c r="C79" i="2"/>
  <c r="V78" i="2"/>
  <c r="R78" i="2"/>
  <c r="O78" i="2"/>
  <c r="L78" i="2"/>
  <c r="I78" i="2"/>
  <c r="D78" i="2"/>
  <c r="E78" i="2" s="1"/>
  <c r="C78" i="2"/>
  <c r="V77" i="2"/>
  <c r="R77" i="2"/>
  <c r="O77" i="2"/>
  <c r="L77" i="2"/>
  <c r="I77" i="2"/>
  <c r="K77" i="2" s="1"/>
  <c r="D77" i="2"/>
  <c r="E77" i="2" s="1"/>
  <c r="F77" i="2" s="1"/>
  <c r="C77" i="2"/>
  <c r="V76" i="2"/>
  <c r="R76" i="2"/>
  <c r="O76" i="2"/>
  <c r="L76" i="2"/>
  <c r="I76" i="2"/>
  <c r="E76" i="2"/>
  <c r="D76" i="2"/>
  <c r="C76" i="2"/>
  <c r="V75" i="2"/>
  <c r="S75" i="2"/>
  <c r="T75" i="2" s="1"/>
  <c r="R75" i="2"/>
  <c r="O75" i="2"/>
  <c r="L75" i="2"/>
  <c r="I75" i="2"/>
  <c r="K75" i="2" s="1"/>
  <c r="D75" i="2"/>
  <c r="E75" i="2" s="1"/>
  <c r="F75" i="2" s="1"/>
  <c r="C75" i="2"/>
  <c r="V74" i="2"/>
  <c r="R74" i="2"/>
  <c r="O74" i="2"/>
  <c r="L74" i="2"/>
  <c r="I74" i="2"/>
  <c r="D74" i="2"/>
  <c r="E74" i="2" s="1"/>
  <c r="C74" i="2"/>
  <c r="F94" i="2" s="1"/>
  <c r="V73" i="2"/>
  <c r="R73" i="2"/>
  <c r="O73" i="2"/>
  <c r="L73" i="2"/>
  <c r="I73" i="2"/>
  <c r="D73" i="2"/>
  <c r="E73" i="2" s="1"/>
  <c r="F73" i="2" s="1"/>
  <c r="C73" i="2"/>
  <c r="V72" i="2"/>
  <c r="R72" i="2"/>
  <c r="O72" i="2"/>
  <c r="L72" i="2"/>
  <c r="I72" i="2"/>
  <c r="F72" i="2"/>
  <c r="E72" i="2"/>
  <c r="D72" i="2"/>
  <c r="C72" i="2"/>
  <c r="V71" i="2"/>
  <c r="R71" i="2"/>
  <c r="O71" i="2"/>
  <c r="L71" i="2"/>
  <c r="I71" i="2"/>
  <c r="D71" i="2"/>
  <c r="E71" i="2" s="1"/>
  <c r="C71" i="2"/>
  <c r="V70" i="2"/>
  <c r="R70" i="2"/>
  <c r="O70" i="2"/>
  <c r="L70" i="2"/>
  <c r="I70" i="2"/>
  <c r="D70" i="2"/>
  <c r="E70" i="2" s="1"/>
  <c r="C70" i="2"/>
  <c r="V69" i="2"/>
  <c r="R69" i="2"/>
  <c r="P69" i="2"/>
  <c r="O69" i="2"/>
  <c r="L69" i="2"/>
  <c r="K69" i="2"/>
  <c r="I69" i="2"/>
  <c r="D69" i="2"/>
  <c r="E69" i="2" s="1"/>
  <c r="F69" i="2" s="1"/>
  <c r="C69" i="2"/>
  <c r="W68" i="2"/>
  <c r="Y68" i="2" s="1"/>
  <c r="V68" i="2"/>
  <c r="R68" i="2"/>
  <c r="O68" i="2"/>
  <c r="L68" i="2"/>
  <c r="I68" i="2"/>
  <c r="F68" i="2"/>
  <c r="P68" i="2" s="1"/>
  <c r="E68" i="2"/>
  <c r="D68" i="2"/>
  <c r="C68" i="2"/>
  <c r="V67" i="2"/>
  <c r="S67" i="2"/>
  <c r="T67" i="2" s="1"/>
  <c r="R67" i="2"/>
  <c r="O67" i="2"/>
  <c r="L67" i="2"/>
  <c r="I67" i="2"/>
  <c r="K67" i="2" s="1"/>
  <c r="D67" i="2"/>
  <c r="E67" i="2" s="1"/>
  <c r="F67" i="2" s="1"/>
  <c r="C67" i="2"/>
  <c r="V66" i="2"/>
  <c r="R66" i="2"/>
  <c r="O66" i="2"/>
  <c r="L66" i="2"/>
  <c r="I66" i="2"/>
  <c r="D66" i="2"/>
  <c r="E66" i="2" s="1"/>
  <c r="F66" i="2" s="1"/>
  <c r="C66" i="2"/>
  <c r="F86" i="2" s="1"/>
  <c r="V65" i="2"/>
  <c r="R65" i="2"/>
  <c r="P65" i="2"/>
  <c r="O65" i="2"/>
  <c r="L65" i="2"/>
  <c r="K65" i="2"/>
  <c r="I65" i="2"/>
  <c r="D65" i="2"/>
  <c r="E65" i="2" s="1"/>
  <c r="F65" i="2" s="1"/>
  <c r="C65" i="2"/>
  <c r="W64" i="2"/>
  <c r="Y64" i="2" s="1"/>
  <c r="V64" i="2"/>
  <c r="R64" i="2"/>
  <c r="O64" i="2"/>
  <c r="L64" i="2"/>
  <c r="I64" i="2"/>
  <c r="F64" i="2"/>
  <c r="E64" i="2"/>
  <c r="D64" i="2"/>
  <c r="C64" i="2"/>
  <c r="V63" i="2"/>
  <c r="S63" i="2"/>
  <c r="T63" i="2" s="1"/>
  <c r="R63" i="2"/>
  <c r="O63" i="2"/>
  <c r="L63" i="2"/>
  <c r="I63" i="2"/>
  <c r="K63" i="2" s="1"/>
  <c r="D63" i="2"/>
  <c r="E63" i="2" s="1"/>
  <c r="F63" i="2" s="1"/>
  <c r="C63" i="2"/>
  <c r="V62" i="2"/>
  <c r="R62" i="2"/>
  <c r="O62" i="2"/>
  <c r="L62" i="2"/>
  <c r="I62" i="2"/>
  <c r="D62" i="2"/>
  <c r="E62" i="2" s="1"/>
  <c r="C62" i="2"/>
  <c r="V61" i="2"/>
  <c r="R61" i="2"/>
  <c r="O61" i="2"/>
  <c r="L61" i="2"/>
  <c r="I61" i="2"/>
  <c r="E61" i="2"/>
  <c r="F61" i="2" s="1"/>
  <c r="D61" i="2"/>
  <c r="C61" i="2"/>
  <c r="V60" i="2"/>
  <c r="W60" i="2" s="1"/>
  <c r="Y60" i="2" s="1"/>
  <c r="R60" i="2"/>
  <c r="O60" i="2"/>
  <c r="L60" i="2"/>
  <c r="I60" i="2"/>
  <c r="E60" i="2"/>
  <c r="F60" i="2" s="1"/>
  <c r="D60" i="2"/>
  <c r="C60" i="2"/>
  <c r="V59" i="2"/>
  <c r="R59" i="2"/>
  <c r="O59" i="2"/>
  <c r="L59" i="2"/>
  <c r="I59" i="2"/>
  <c r="D59" i="2"/>
  <c r="E59" i="2" s="1"/>
  <c r="C59" i="2"/>
  <c r="V58" i="2"/>
  <c r="R58" i="2"/>
  <c r="O58" i="2"/>
  <c r="L58" i="2"/>
  <c r="I58" i="2"/>
  <c r="E58" i="2"/>
  <c r="D58" i="2"/>
  <c r="C58" i="2"/>
  <c r="V57" i="2"/>
  <c r="R57" i="2"/>
  <c r="O57" i="2"/>
  <c r="L57" i="2"/>
  <c r="I57" i="2"/>
  <c r="D57" i="2"/>
  <c r="E57" i="2" s="1"/>
  <c r="C57" i="2"/>
  <c r="V56" i="2"/>
  <c r="R56" i="2"/>
  <c r="O56" i="2"/>
  <c r="L56" i="2"/>
  <c r="I56" i="2"/>
  <c r="G56" i="2"/>
  <c r="F56" i="2"/>
  <c r="E56" i="2"/>
  <c r="D56" i="2"/>
  <c r="C56" i="2"/>
  <c r="F76" i="2" s="1"/>
  <c r="V55" i="2"/>
  <c r="R55" i="2"/>
  <c r="O55" i="2"/>
  <c r="L55" i="2"/>
  <c r="I55" i="2"/>
  <c r="D55" i="2"/>
  <c r="E55" i="2" s="1"/>
  <c r="F55" i="2" s="1"/>
  <c r="C55" i="2"/>
  <c r="V54" i="2"/>
  <c r="R54" i="2"/>
  <c r="O54" i="2"/>
  <c r="L54" i="2"/>
  <c r="I54" i="2"/>
  <c r="D54" i="2"/>
  <c r="E54" i="2" s="1"/>
  <c r="F54" i="2" s="1"/>
  <c r="C54" i="2"/>
  <c r="V53" i="2"/>
  <c r="R53" i="2"/>
  <c r="O53" i="2"/>
  <c r="L53" i="2"/>
  <c r="I53" i="2"/>
  <c r="D53" i="2"/>
  <c r="E53" i="2" s="1"/>
  <c r="C53" i="2"/>
  <c r="V52" i="2"/>
  <c r="R52" i="2"/>
  <c r="O52" i="2"/>
  <c r="L52" i="2"/>
  <c r="K52" i="2"/>
  <c r="I52" i="2"/>
  <c r="E52" i="2"/>
  <c r="F52" i="2" s="1"/>
  <c r="D52" i="2"/>
  <c r="C52" i="2"/>
  <c r="V51" i="2"/>
  <c r="R51" i="2"/>
  <c r="O51" i="2"/>
  <c r="L51" i="2"/>
  <c r="I51" i="2"/>
  <c r="D51" i="2"/>
  <c r="E51" i="2" s="1"/>
  <c r="C51" i="2"/>
  <c r="V50" i="2"/>
  <c r="R50" i="2"/>
  <c r="O50" i="2"/>
  <c r="L50" i="2"/>
  <c r="I50" i="2"/>
  <c r="E50" i="2"/>
  <c r="F50" i="2" s="1"/>
  <c r="D50" i="2"/>
  <c r="C50" i="2"/>
  <c r="V49" i="2"/>
  <c r="R49" i="2"/>
  <c r="O49" i="2"/>
  <c r="L49" i="2"/>
  <c r="K49" i="2"/>
  <c r="I49" i="2"/>
  <c r="D49" i="2"/>
  <c r="E49" i="2" s="1"/>
  <c r="F49" i="2" s="1"/>
  <c r="C49" i="2"/>
  <c r="V48" i="2"/>
  <c r="S48" i="2"/>
  <c r="T48" i="2" s="1"/>
  <c r="R48" i="2"/>
  <c r="O48" i="2"/>
  <c r="L48" i="2"/>
  <c r="I48" i="2"/>
  <c r="G48" i="2"/>
  <c r="F48" i="2"/>
  <c r="E48" i="2"/>
  <c r="D48" i="2"/>
  <c r="C48" i="2"/>
  <c r="V47" i="2"/>
  <c r="R47" i="2"/>
  <c r="O47" i="2"/>
  <c r="L47" i="2"/>
  <c r="I47" i="2"/>
  <c r="G47" i="2"/>
  <c r="F47" i="2"/>
  <c r="D47" i="2"/>
  <c r="E47" i="2" s="1"/>
  <c r="C47" i="2"/>
  <c r="V46" i="2"/>
  <c r="R46" i="2"/>
  <c r="O46" i="2"/>
  <c r="L46" i="2"/>
  <c r="I46" i="2"/>
  <c r="E46" i="2"/>
  <c r="F46" i="2" s="1"/>
  <c r="D46" i="2"/>
  <c r="C46" i="2"/>
  <c r="V45" i="2"/>
  <c r="R45" i="2"/>
  <c r="O45" i="2"/>
  <c r="L45" i="2"/>
  <c r="I45" i="2"/>
  <c r="D45" i="2"/>
  <c r="E45" i="2" s="1"/>
  <c r="F45" i="2" s="1"/>
  <c r="K45" i="2" s="1"/>
  <c r="C45" i="2"/>
  <c r="V44" i="2"/>
  <c r="R44" i="2"/>
  <c r="O44" i="2"/>
  <c r="L44" i="2"/>
  <c r="I44" i="2"/>
  <c r="E44" i="2"/>
  <c r="F44" i="2" s="1"/>
  <c r="D44" i="2"/>
  <c r="C44" i="2"/>
  <c r="V43" i="2"/>
  <c r="R43" i="2"/>
  <c r="O43" i="2"/>
  <c r="L43" i="2"/>
  <c r="I43" i="2"/>
  <c r="F43" i="2"/>
  <c r="W43" i="2" s="1"/>
  <c r="Y43" i="2" s="1"/>
  <c r="E43" i="2"/>
  <c r="D43" i="2"/>
  <c r="C43" i="2"/>
  <c r="V42" i="2"/>
  <c r="R42" i="2"/>
  <c r="O42" i="2"/>
  <c r="L42" i="2"/>
  <c r="I42" i="2"/>
  <c r="D42" i="2"/>
  <c r="E42" i="2" s="1"/>
  <c r="F42" i="2" s="1"/>
  <c r="C42" i="2"/>
  <c r="V41" i="2"/>
  <c r="R41" i="2"/>
  <c r="O41" i="2"/>
  <c r="L41" i="2"/>
  <c r="I41" i="2"/>
  <c r="E41" i="2"/>
  <c r="D41" i="2"/>
  <c r="C41" i="2"/>
  <c r="V40" i="2"/>
  <c r="R40" i="2"/>
  <c r="O40" i="2"/>
  <c r="L40" i="2"/>
  <c r="I40" i="2"/>
  <c r="D40" i="2"/>
  <c r="E40" i="2" s="1"/>
  <c r="C40" i="2"/>
  <c r="V39" i="2"/>
  <c r="R39" i="2"/>
  <c r="O39" i="2"/>
  <c r="M39" i="2"/>
  <c r="L39" i="2"/>
  <c r="I39" i="2"/>
  <c r="E39" i="2"/>
  <c r="D39" i="2"/>
  <c r="C39" i="2"/>
  <c r="V38" i="2"/>
  <c r="R38" i="2"/>
  <c r="O38" i="2"/>
  <c r="L38" i="2"/>
  <c r="I38" i="2"/>
  <c r="D38" i="2"/>
  <c r="E38" i="2" s="1"/>
  <c r="C38" i="2"/>
  <c r="V37" i="2"/>
  <c r="R37" i="2"/>
  <c r="O37" i="2"/>
  <c r="L37" i="2"/>
  <c r="I37" i="2"/>
  <c r="D37" i="2"/>
  <c r="E37" i="2" s="1"/>
  <c r="F37" i="2" s="1"/>
  <c r="K37" i="2" s="1"/>
  <c r="C37" i="2"/>
  <c r="F57" i="2" s="1"/>
  <c r="V36" i="2"/>
  <c r="R36" i="2"/>
  <c r="O36" i="2"/>
  <c r="L36" i="2"/>
  <c r="I36" i="2"/>
  <c r="E36" i="2"/>
  <c r="F36" i="2" s="1"/>
  <c r="D36" i="2"/>
  <c r="C36" i="2"/>
  <c r="V35" i="2"/>
  <c r="R35" i="2"/>
  <c r="O35" i="2"/>
  <c r="L35" i="2"/>
  <c r="I35" i="2"/>
  <c r="F35" i="2"/>
  <c r="W35" i="2" s="1"/>
  <c r="Y35" i="2" s="1"/>
  <c r="E35" i="2"/>
  <c r="D35" i="2"/>
  <c r="C35" i="2"/>
  <c r="V34" i="2"/>
  <c r="R34" i="2"/>
  <c r="O34" i="2"/>
  <c r="L34" i="2"/>
  <c r="I34" i="2"/>
  <c r="D34" i="2"/>
  <c r="E34" i="2" s="1"/>
  <c r="F34" i="2" s="1"/>
  <c r="C34" i="2"/>
  <c r="V33" i="2"/>
  <c r="S33" i="2"/>
  <c r="T33" i="2" s="1"/>
  <c r="R33" i="2"/>
  <c r="O33" i="2"/>
  <c r="M33" i="2"/>
  <c r="L33" i="2"/>
  <c r="I33" i="2"/>
  <c r="K33" i="2" s="1"/>
  <c r="G33" i="2"/>
  <c r="E33" i="2"/>
  <c r="F33" i="2" s="1"/>
  <c r="W33" i="2" s="1"/>
  <c r="Y33" i="2" s="1"/>
  <c r="D33" i="2"/>
  <c r="C33" i="2"/>
  <c r="V32" i="2"/>
  <c r="R32" i="2"/>
  <c r="O32" i="2"/>
  <c r="L32" i="2"/>
  <c r="I32" i="2"/>
  <c r="D32" i="2"/>
  <c r="E32" i="2" s="1"/>
  <c r="C32" i="2"/>
  <c r="V31" i="2"/>
  <c r="R31" i="2"/>
  <c r="O31" i="2"/>
  <c r="M31" i="2"/>
  <c r="L31" i="2"/>
  <c r="I31" i="2"/>
  <c r="E31" i="2"/>
  <c r="D31" i="2"/>
  <c r="C31" i="2"/>
  <c r="V30" i="2"/>
  <c r="R30" i="2"/>
  <c r="O30" i="2"/>
  <c r="L30" i="2"/>
  <c r="I30" i="2"/>
  <c r="F30" i="2"/>
  <c r="D30" i="2"/>
  <c r="E30" i="2" s="1"/>
  <c r="C30" i="2"/>
  <c r="V29" i="2"/>
  <c r="R29" i="2"/>
  <c r="O29" i="2"/>
  <c r="L29" i="2"/>
  <c r="I29" i="2"/>
  <c r="D29" i="2"/>
  <c r="E29" i="2" s="1"/>
  <c r="F29" i="2" s="1"/>
  <c r="C29" i="2"/>
  <c r="V28" i="2"/>
  <c r="R28" i="2"/>
  <c r="O28" i="2"/>
  <c r="L28" i="2"/>
  <c r="I28" i="2"/>
  <c r="E28" i="2"/>
  <c r="F28" i="2" s="1"/>
  <c r="D28" i="2"/>
  <c r="C28" i="2"/>
  <c r="V27" i="2"/>
  <c r="R27" i="2"/>
  <c r="O27" i="2"/>
  <c r="L27" i="2"/>
  <c r="I27" i="2"/>
  <c r="F27" i="2"/>
  <c r="E27" i="2"/>
  <c r="D27" i="2"/>
  <c r="C27" i="2"/>
  <c r="V26" i="2"/>
  <c r="R26" i="2"/>
  <c r="O26" i="2"/>
  <c r="L26" i="2"/>
  <c r="I26" i="2"/>
  <c r="D26" i="2"/>
  <c r="E26" i="2" s="1"/>
  <c r="F26" i="2" s="1"/>
  <c r="C26" i="2"/>
  <c r="V25" i="2"/>
  <c r="S25" i="2"/>
  <c r="T25" i="2" s="1"/>
  <c r="R25" i="2"/>
  <c r="O25" i="2"/>
  <c r="M25" i="2"/>
  <c r="L25" i="2"/>
  <c r="I25" i="2"/>
  <c r="K25" i="2" s="1"/>
  <c r="G25" i="2"/>
  <c r="E25" i="2"/>
  <c r="F25" i="2" s="1"/>
  <c r="W25" i="2" s="1"/>
  <c r="Y25" i="2" s="1"/>
  <c r="D25" i="2"/>
  <c r="C25" i="2"/>
  <c r="V24" i="2"/>
  <c r="R24" i="2"/>
  <c r="P24" i="2"/>
  <c r="O24" i="2"/>
  <c r="L24" i="2"/>
  <c r="K24" i="2"/>
  <c r="I24" i="2"/>
  <c r="D24" i="2"/>
  <c r="E24" i="2" s="1"/>
  <c r="F24" i="2" s="1"/>
  <c r="C24" i="2"/>
  <c r="V23" i="2"/>
  <c r="R23" i="2"/>
  <c r="O23" i="2"/>
  <c r="M23" i="2"/>
  <c r="L23" i="2"/>
  <c r="I23" i="2"/>
  <c r="E23" i="2"/>
  <c r="D23" i="2"/>
  <c r="C23" i="2"/>
  <c r="V22" i="2"/>
  <c r="R22" i="2"/>
  <c r="O22" i="2"/>
  <c r="L22" i="2"/>
  <c r="I22" i="2"/>
  <c r="D22" i="2"/>
  <c r="E22" i="2" s="1"/>
  <c r="C22" i="2"/>
  <c r="V21" i="2"/>
  <c r="W21" i="2" s="1"/>
  <c r="Y21" i="2" s="1"/>
  <c r="T21" i="2"/>
  <c r="S21" i="2"/>
  <c r="R21" i="2"/>
  <c r="P21" i="2"/>
  <c r="O21" i="2"/>
  <c r="M21" i="2"/>
  <c r="L21" i="2"/>
  <c r="K21" i="2"/>
  <c r="I21" i="2"/>
  <c r="E21" i="2"/>
  <c r="D21" i="2"/>
  <c r="C21" i="2"/>
  <c r="Y20" i="2"/>
  <c r="W20" i="2"/>
  <c r="V20" i="2"/>
  <c r="P20" i="2"/>
  <c r="O20" i="2"/>
  <c r="M20" i="2"/>
  <c r="L20" i="2"/>
  <c r="K20" i="2"/>
  <c r="I20" i="2"/>
  <c r="E20" i="2"/>
  <c r="D20" i="2"/>
  <c r="C20" i="2"/>
  <c r="Y19" i="2"/>
  <c r="W19" i="2"/>
  <c r="V19" i="2"/>
  <c r="P19" i="2"/>
  <c r="O19" i="2"/>
  <c r="M19" i="2"/>
  <c r="L19" i="2"/>
  <c r="K19" i="2"/>
  <c r="I19" i="2"/>
  <c r="E19" i="2"/>
  <c r="D19" i="2"/>
  <c r="C19" i="2"/>
  <c r="F39" i="2" s="1"/>
  <c r="Y18" i="2"/>
  <c r="W18" i="2"/>
  <c r="V18" i="2"/>
  <c r="P18" i="2"/>
  <c r="O18" i="2"/>
  <c r="M18" i="2"/>
  <c r="L18" i="2"/>
  <c r="K18" i="2"/>
  <c r="I18" i="2"/>
  <c r="E18" i="2"/>
  <c r="D18" i="2"/>
  <c r="C18" i="2"/>
  <c r="F38" i="2" s="1"/>
  <c r="Y17" i="2"/>
  <c r="W17" i="2"/>
  <c r="V17" i="2"/>
  <c r="P17" i="2"/>
  <c r="O17" i="2"/>
  <c r="M17" i="2"/>
  <c r="L17" i="2"/>
  <c r="K17" i="2"/>
  <c r="I17" i="2"/>
  <c r="E17" i="2"/>
  <c r="D17" i="2"/>
  <c r="C17" i="2"/>
  <c r="Y16" i="2"/>
  <c r="W16" i="2"/>
  <c r="V16" i="2"/>
  <c r="P16" i="2"/>
  <c r="O16" i="2"/>
  <c r="M16" i="2"/>
  <c r="L16" i="2"/>
  <c r="K16" i="2"/>
  <c r="I16" i="2"/>
  <c r="E16" i="2"/>
  <c r="D16" i="2"/>
  <c r="C16" i="2"/>
  <c r="P15" i="2"/>
  <c r="O15" i="2"/>
  <c r="L15" i="2"/>
  <c r="M15" i="2" s="1"/>
  <c r="K15" i="2"/>
  <c r="I15" i="2"/>
  <c r="D15" i="2"/>
  <c r="E15" i="2" s="1"/>
  <c r="C15" i="2"/>
  <c r="P14" i="2"/>
  <c r="O14" i="2"/>
  <c r="L14" i="2"/>
  <c r="M14" i="2" s="1"/>
  <c r="K14" i="2"/>
  <c r="I14" i="2"/>
  <c r="D14" i="2"/>
  <c r="E14" i="2" s="1"/>
  <c r="C14" i="2"/>
  <c r="O13" i="2"/>
  <c r="P13" i="2" s="1"/>
  <c r="L13" i="2"/>
  <c r="M13" i="2" s="1"/>
  <c r="I13" i="2"/>
  <c r="K13" i="2" s="1"/>
  <c r="E13" i="2"/>
  <c r="D13" i="2"/>
  <c r="C13" i="2"/>
  <c r="P12" i="2"/>
  <c r="O12" i="2"/>
  <c r="M12" i="2"/>
  <c r="L12" i="2"/>
  <c r="K12" i="2"/>
  <c r="I12" i="2"/>
  <c r="E12" i="2"/>
  <c r="D12" i="2"/>
  <c r="C12" i="2"/>
  <c r="P11" i="2"/>
  <c r="O11" i="2"/>
  <c r="L11" i="2"/>
  <c r="M11" i="2" s="1"/>
  <c r="K11" i="2"/>
  <c r="I11" i="2"/>
  <c r="D11" i="2"/>
  <c r="E11" i="2" s="1"/>
  <c r="C11" i="2"/>
  <c r="F31" i="2" s="1"/>
  <c r="G31" i="2" s="1"/>
  <c r="M10" i="2"/>
  <c r="L10" i="2"/>
  <c r="I10" i="2"/>
  <c r="K10" i="2" s="1"/>
  <c r="E10" i="2"/>
  <c r="D10" i="2"/>
  <c r="C10" i="2"/>
  <c r="L9" i="2"/>
  <c r="M9" i="2" s="1"/>
  <c r="I9" i="2"/>
  <c r="K9" i="2" s="1"/>
  <c r="D9" i="2"/>
  <c r="E9" i="2" s="1"/>
  <c r="C9" i="2"/>
  <c r="I8" i="2"/>
  <c r="K8" i="2" s="1"/>
  <c r="E8" i="2"/>
  <c r="D8" i="2"/>
  <c r="C8" i="2"/>
  <c r="I7" i="2"/>
  <c r="K7" i="2" s="1"/>
  <c r="D7" i="2"/>
  <c r="E7" i="2" s="1"/>
  <c r="C7" i="2"/>
  <c r="K6" i="2"/>
  <c r="I6" i="2"/>
  <c r="E6" i="2"/>
  <c r="D6" i="2"/>
  <c r="C6" i="2"/>
  <c r="I5" i="2"/>
  <c r="K5" i="2" s="1"/>
  <c r="E5" i="2"/>
  <c r="D5" i="2"/>
  <c r="C5" i="2"/>
  <c r="D4" i="2"/>
  <c r="E4" i="2" s="1"/>
  <c r="C4" i="2"/>
  <c r="D3" i="2"/>
  <c r="E3" i="2" s="1"/>
  <c r="C3" i="2"/>
  <c r="F23" i="2" s="1"/>
  <c r="E2" i="2"/>
  <c r="D2" i="2"/>
  <c r="W179" i="1"/>
  <c r="Y179" i="1" s="1"/>
  <c r="V179" i="1"/>
  <c r="R179" i="1"/>
  <c r="O179" i="1"/>
  <c r="L179" i="1"/>
  <c r="I179" i="1"/>
  <c r="E179" i="1"/>
  <c r="F179" i="1" s="1"/>
  <c r="S179" i="1" s="1"/>
  <c r="T179" i="1" s="1"/>
  <c r="C179" i="1"/>
  <c r="V178" i="1"/>
  <c r="S178" i="1"/>
  <c r="T178" i="1" s="1"/>
  <c r="R178" i="1"/>
  <c r="O178" i="1"/>
  <c r="L178" i="1"/>
  <c r="I178" i="1"/>
  <c r="K178" i="1" s="1"/>
  <c r="E178" i="1"/>
  <c r="F178" i="1" s="1"/>
  <c r="C178" i="1"/>
  <c r="W177" i="1"/>
  <c r="Y177" i="1" s="1"/>
  <c r="V177" i="1"/>
  <c r="R177" i="1"/>
  <c r="O177" i="1"/>
  <c r="L177" i="1"/>
  <c r="I177" i="1"/>
  <c r="K177" i="1" s="1"/>
  <c r="E177" i="1"/>
  <c r="F177" i="1" s="1"/>
  <c r="C177" i="1"/>
  <c r="V176" i="1"/>
  <c r="S176" i="1"/>
  <c r="T176" i="1" s="1"/>
  <c r="R176" i="1"/>
  <c r="P176" i="1"/>
  <c r="O176" i="1"/>
  <c r="M176" i="1"/>
  <c r="L176" i="1"/>
  <c r="I176" i="1"/>
  <c r="F176" i="1"/>
  <c r="G176" i="1" s="1"/>
  <c r="H176" i="1" s="1"/>
  <c r="E176" i="1"/>
  <c r="C176" i="1"/>
  <c r="W175" i="1"/>
  <c r="Y175" i="1" s="1"/>
  <c r="V175" i="1"/>
  <c r="R175" i="1"/>
  <c r="O175" i="1"/>
  <c r="M175" i="1"/>
  <c r="L175" i="1"/>
  <c r="I175" i="1"/>
  <c r="K175" i="1" s="1"/>
  <c r="G175" i="1"/>
  <c r="H175" i="1" s="1"/>
  <c r="E175" i="1"/>
  <c r="F175" i="1" s="1"/>
  <c r="C175" i="1"/>
  <c r="V174" i="1"/>
  <c r="R174" i="1"/>
  <c r="O174" i="1"/>
  <c r="L174" i="1"/>
  <c r="I174" i="1"/>
  <c r="E174" i="1"/>
  <c r="F174" i="1" s="1"/>
  <c r="C174" i="1"/>
  <c r="V173" i="1"/>
  <c r="R173" i="1"/>
  <c r="O173" i="1"/>
  <c r="L173" i="1"/>
  <c r="I173" i="1"/>
  <c r="F173" i="1"/>
  <c r="E173" i="1"/>
  <c r="C173" i="1"/>
  <c r="W172" i="1"/>
  <c r="Y172" i="1" s="1"/>
  <c r="V172" i="1"/>
  <c r="R172" i="1"/>
  <c r="P172" i="1"/>
  <c r="O172" i="1"/>
  <c r="L172" i="1"/>
  <c r="K172" i="1"/>
  <c r="I172" i="1"/>
  <c r="G172" i="1"/>
  <c r="H172" i="1" s="1"/>
  <c r="F172" i="1"/>
  <c r="E172" i="1"/>
  <c r="C172" i="1"/>
  <c r="V171" i="1"/>
  <c r="R171" i="1"/>
  <c r="O171" i="1"/>
  <c r="L171" i="1"/>
  <c r="I171" i="1"/>
  <c r="E171" i="1"/>
  <c r="F171" i="1" s="1"/>
  <c r="C171" i="1"/>
  <c r="V170" i="1"/>
  <c r="S170" i="1"/>
  <c r="T170" i="1" s="1"/>
  <c r="R170" i="1"/>
  <c r="O170" i="1"/>
  <c r="L170" i="1"/>
  <c r="I170" i="1"/>
  <c r="E170" i="1"/>
  <c r="F170" i="1" s="1"/>
  <c r="C170" i="1"/>
  <c r="V169" i="1"/>
  <c r="R169" i="1"/>
  <c r="P169" i="1"/>
  <c r="O169" i="1"/>
  <c r="L169" i="1"/>
  <c r="I169" i="1"/>
  <c r="K169" i="1" s="1"/>
  <c r="E169" i="1"/>
  <c r="F169" i="1" s="1"/>
  <c r="C169" i="1"/>
  <c r="V168" i="1"/>
  <c r="S168" i="1"/>
  <c r="T168" i="1" s="1"/>
  <c r="R168" i="1"/>
  <c r="O168" i="1"/>
  <c r="M168" i="1"/>
  <c r="L168" i="1"/>
  <c r="I168" i="1"/>
  <c r="F168" i="1"/>
  <c r="G168" i="1" s="1"/>
  <c r="H168" i="1" s="1"/>
  <c r="E168" i="1"/>
  <c r="C168" i="1"/>
  <c r="W167" i="1"/>
  <c r="Y167" i="1" s="1"/>
  <c r="V167" i="1"/>
  <c r="R167" i="1"/>
  <c r="O167" i="1"/>
  <c r="M167" i="1"/>
  <c r="L167" i="1"/>
  <c r="I167" i="1"/>
  <c r="K167" i="1" s="1"/>
  <c r="G167" i="1"/>
  <c r="H167" i="1" s="1"/>
  <c r="E167" i="1"/>
  <c r="F167" i="1" s="1"/>
  <c r="C167" i="1"/>
  <c r="V166" i="1"/>
  <c r="R166" i="1"/>
  <c r="O166" i="1"/>
  <c r="L166" i="1"/>
  <c r="I166" i="1"/>
  <c r="E166" i="1"/>
  <c r="F166" i="1" s="1"/>
  <c r="K166" i="1" s="1"/>
  <c r="C166" i="1"/>
  <c r="V165" i="1"/>
  <c r="R165" i="1"/>
  <c r="O165" i="1"/>
  <c r="L165" i="1"/>
  <c r="I165" i="1"/>
  <c r="F165" i="1"/>
  <c r="E165" i="1"/>
  <c r="C165" i="1"/>
  <c r="W164" i="1"/>
  <c r="Y164" i="1" s="1"/>
  <c r="V164" i="1"/>
  <c r="R164" i="1"/>
  <c r="P164" i="1"/>
  <c r="O164" i="1"/>
  <c r="L164" i="1"/>
  <c r="K164" i="1"/>
  <c r="I164" i="1"/>
  <c r="G164" i="1"/>
  <c r="H164" i="1" s="1"/>
  <c r="F164" i="1"/>
  <c r="E164" i="1"/>
  <c r="C164" i="1"/>
  <c r="V163" i="1"/>
  <c r="R163" i="1"/>
  <c r="O163" i="1"/>
  <c r="L163" i="1"/>
  <c r="I163" i="1"/>
  <c r="E163" i="1"/>
  <c r="F163" i="1" s="1"/>
  <c r="C163" i="1"/>
  <c r="V162" i="1"/>
  <c r="S162" i="1"/>
  <c r="T162" i="1" s="1"/>
  <c r="R162" i="1"/>
  <c r="O162" i="1"/>
  <c r="L162" i="1"/>
  <c r="I162" i="1"/>
  <c r="E162" i="1"/>
  <c r="F162" i="1" s="1"/>
  <c r="C162" i="1"/>
  <c r="V161" i="1"/>
  <c r="R161" i="1"/>
  <c r="P161" i="1"/>
  <c r="O161" i="1"/>
  <c r="L161" i="1"/>
  <c r="I161" i="1"/>
  <c r="K161" i="1" s="1"/>
  <c r="E161" i="1"/>
  <c r="F161" i="1" s="1"/>
  <c r="C161" i="1"/>
  <c r="V160" i="1"/>
  <c r="S160" i="1"/>
  <c r="T160" i="1" s="1"/>
  <c r="R160" i="1"/>
  <c r="O160" i="1"/>
  <c r="M160" i="1"/>
  <c r="L160" i="1"/>
  <c r="I160" i="1"/>
  <c r="F160" i="1"/>
  <c r="G160" i="1" s="1"/>
  <c r="H160" i="1" s="1"/>
  <c r="E160" i="1"/>
  <c r="C160" i="1"/>
  <c r="W159" i="1"/>
  <c r="Y159" i="1" s="1"/>
  <c r="V159" i="1"/>
  <c r="R159" i="1"/>
  <c r="O159" i="1"/>
  <c r="M159" i="1"/>
  <c r="L159" i="1"/>
  <c r="I159" i="1"/>
  <c r="K159" i="1" s="1"/>
  <c r="G159" i="1"/>
  <c r="H159" i="1" s="1"/>
  <c r="E159" i="1"/>
  <c r="F159" i="1" s="1"/>
  <c r="C159" i="1"/>
  <c r="V158" i="1"/>
  <c r="R158" i="1"/>
  <c r="O158" i="1"/>
  <c r="L158" i="1"/>
  <c r="K158" i="1"/>
  <c r="I158" i="1"/>
  <c r="E158" i="1"/>
  <c r="F158" i="1" s="1"/>
  <c r="C158" i="1"/>
  <c r="V157" i="1"/>
  <c r="R157" i="1"/>
  <c r="O157" i="1"/>
  <c r="L157" i="1"/>
  <c r="I157" i="1"/>
  <c r="F157" i="1"/>
  <c r="E157" i="1"/>
  <c r="C157" i="1"/>
  <c r="W156" i="1"/>
  <c r="Y156" i="1" s="1"/>
  <c r="V156" i="1"/>
  <c r="R156" i="1"/>
  <c r="P156" i="1"/>
  <c r="O156" i="1"/>
  <c r="L156" i="1"/>
  <c r="K156" i="1"/>
  <c r="I156" i="1"/>
  <c r="G156" i="1"/>
  <c r="H156" i="1" s="1"/>
  <c r="F156" i="1"/>
  <c r="E156" i="1"/>
  <c r="C156" i="1"/>
  <c r="V155" i="1"/>
  <c r="R155" i="1"/>
  <c r="O155" i="1"/>
  <c r="L155" i="1"/>
  <c r="I155" i="1"/>
  <c r="E155" i="1"/>
  <c r="F155" i="1" s="1"/>
  <c r="C155" i="1"/>
  <c r="V154" i="1"/>
  <c r="S154" i="1"/>
  <c r="T154" i="1" s="1"/>
  <c r="R154" i="1"/>
  <c r="O154" i="1"/>
  <c r="L154" i="1"/>
  <c r="I154" i="1"/>
  <c r="E154" i="1"/>
  <c r="F154" i="1" s="1"/>
  <c r="C154" i="1"/>
  <c r="V153" i="1"/>
  <c r="R153" i="1"/>
  <c r="P153" i="1"/>
  <c r="O153" i="1"/>
  <c r="L153" i="1"/>
  <c r="I153" i="1"/>
  <c r="K153" i="1" s="1"/>
  <c r="E153" i="1"/>
  <c r="F153" i="1" s="1"/>
  <c r="C153" i="1"/>
  <c r="V152" i="1"/>
  <c r="S152" i="1"/>
  <c r="T152" i="1" s="1"/>
  <c r="R152" i="1"/>
  <c r="O152" i="1"/>
  <c r="M152" i="1"/>
  <c r="L152" i="1"/>
  <c r="I152" i="1"/>
  <c r="F152" i="1"/>
  <c r="G152" i="1" s="1"/>
  <c r="H152" i="1" s="1"/>
  <c r="E152" i="1"/>
  <c r="C152" i="1"/>
  <c r="W151" i="1"/>
  <c r="Y151" i="1" s="1"/>
  <c r="V151" i="1"/>
  <c r="R151" i="1"/>
  <c r="O151" i="1"/>
  <c r="M151" i="1"/>
  <c r="L151" i="1"/>
  <c r="I151" i="1"/>
  <c r="K151" i="1" s="1"/>
  <c r="G151" i="1"/>
  <c r="H151" i="1" s="1"/>
  <c r="E151" i="1"/>
  <c r="F151" i="1" s="1"/>
  <c r="C151" i="1"/>
  <c r="V150" i="1"/>
  <c r="R150" i="1"/>
  <c r="O150" i="1"/>
  <c r="L150" i="1"/>
  <c r="K150" i="1"/>
  <c r="I150" i="1"/>
  <c r="E150" i="1"/>
  <c r="F150" i="1" s="1"/>
  <c r="C150" i="1"/>
  <c r="V149" i="1"/>
  <c r="R149" i="1"/>
  <c r="O149" i="1"/>
  <c r="L149" i="1"/>
  <c r="I149" i="1"/>
  <c r="F149" i="1"/>
  <c r="E149" i="1"/>
  <c r="C149" i="1"/>
  <c r="W148" i="1"/>
  <c r="Y148" i="1" s="1"/>
  <c r="V148" i="1"/>
  <c r="R148" i="1"/>
  <c r="P148" i="1"/>
  <c r="O148" i="1"/>
  <c r="L148" i="1"/>
  <c r="K148" i="1"/>
  <c r="I148" i="1"/>
  <c r="G148" i="1"/>
  <c r="H148" i="1" s="1"/>
  <c r="F148" i="1"/>
  <c r="E148" i="1"/>
  <c r="C148" i="1"/>
  <c r="V147" i="1"/>
  <c r="R147" i="1"/>
  <c r="O147" i="1"/>
  <c r="L147" i="1"/>
  <c r="I147" i="1"/>
  <c r="E147" i="1"/>
  <c r="F147" i="1" s="1"/>
  <c r="C147" i="1"/>
  <c r="V146" i="1"/>
  <c r="S146" i="1"/>
  <c r="T146" i="1" s="1"/>
  <c r="R146" i="1"/>
  <c r="O146" i="1"/>
  <c r="L146" i="1"/>
  <c r="I146" i="1"/>
  <c r="E146" i="1"/>
  <c r="F146" i="1" s="1"/>
  <c r="C146" i="1"/>
  <c r="V145" i="1"/>
  <c r="R145" i="1"/>
  <c r="P145" i="1"/>
  <c r="O145" i="1"/>
  <c r="L145" i="1"/>
  <c r="I145" i="1"/>
  <c r="K145" i="1" s="1"/>
  <c r="E145" i="1"/>
  <c r="F145" i="1" s="1"/>
  <c r="C145" i="1"/>
  <c r="V144" i="1"/>
  <c r="S144" i="1"/>
  <c r="T144" i="1" s="1"/>
  <c r="R144" i="1"/>
  <c r="P144" i="1"/>
  <c r="O144" i="1"/>
  <c r="M144" i="1"/>
  <c r="L144" i="1"/>
  <c r="I144" i="1"/>
  <c r="F144" i="1"/>
  <c r="G144" i="1" s="1"/>
  <c r="H144" i="1" s="1"/>
  <c r="E144" i="1"/>
  <c r="C144" i="1"/>
  <c r="W143" i="1"/>
  <c r="Y143" i="1" s="1"/>
  <c r="V143" i="1"/>
  <c r="R143" i="1"/>
  <c r="O143" i="1"/>
  <c r="M143" i="1"/>
  <c r="L143" i="1"/>
  <c r="I143" i="1"/>
  <c r="K143" i="1" s="1"/>
  <c r="G143" i="1"/>
  <c r="H143" i="1" s="1"/>
  <c r="E143" i="1"/>
  <c r="F143" i="1" s="1"/>
  <c r="C143" i="1"/>
  <c r="V142" i="1"/>
  <c r="R142" i="1"/>
  <c r="O142" i="1"/>
  <c r="L142" i="1"/>
  <c r="I142" i="1"/>
  <c r="E142" i="1"/>
  <c r="F142" i="1" s="1"/>
  <c r="C142" i="1"/>
  <c r="V141" i="1"/>
  <c r="R141" i="1"/>
  <c r="O141" i="1"/>
  <c r="L141" i="1"/>
  <c r="I141" i="1"/>
  <c r="K141" i="1" s="1"/>
  <c r="G141" i="1"/>
  <c r="H141" i="1" s="1"/>
  <c r="F141" i="1"/>
  <c r="E141" i="1"/>
  <c r="C141" i="1"/>
  <c r="V140" i="1"/>
  <c r="R140" i="1"/>
  <c r="P140" i="1"/>
  <c r="O140" i="1"/>
  <c r="L140" i="1"/>
  <c r="K140" i="1"/>
  <c r="I140" i="1"/>
  <c r="F140" i="1"/>
  <c r="E140" i="1"/>
  <c r="C140" i="1"/>
  <c r="W139" i="1"/>
  <c r="Y139" i="1" s="1"/>
  <c r="V139" i="1"/>
  <c r="S139" i="1"/>
  <c r="T139" i="1" s="1"/>
  <c r="R139" i="1"/>
  <c r="O139" i="1"/>
  <c r="L139" i="1"/>
  <c r="I139" i="1"/>
  <c r="K139" i="1" s="1"/>
  <c r="E139" i="1"/>
  <c r="F139" i="1" s="1"/>
  <c r="C139" i="1"/>
  <c r="V138" i="1"/>
  <c r="R138" i="1"/>
  <c r="O138" i="1"/>
  <c r="L138" i="1"/>
  <c r="I138" i="1"/>
  <c r="E138" i="1"/>
  <c r="F138" i="1" s="1"/>
  <c r="M138" i="1" s="1"/>
  <c r="C138" i="1"/>
  <c r="V137" i="1"/>
  <c r="R137" i="1"/>
  <c r="O137" i="1"/>
  <c r="L137" i="1"/>
  <c r="K137" i="1"/>
  <c r="I137" i="1"/>
  <c r="E137" i="1"/>
  <c r="F137" i="1" s="1"/>
  <c r="C137" i="1"/>
  <c r="V136" i="1"/>
  <c r="S136" i="1"/>
  <c r="T136" i="1" s="1"/>
  <c r="R136" i="1"/>
  <c r="O136" i="1"/>
  <c r="M136" i="1"/>
  <c r="L136" i="1"/>
  <c r="I136" i="1"/>
  <c r="F136" i="1"/>
  <c r="G136" i="1" s="1"/>
  <c r="H136" i="1" s="1"/>
  <c r="E136" i="1"/>
  <c r="C136" i="1"/>
  <c r="W135" i="1"/>
  <c r="Y135" i="1" s="1"/>
  <c r="V135" i="1"/>
  <c r="R135" i="1"/>
  <c r="O135" i="1"/>
  <c r="M135" i="1"/>
  <c r="L135" i="1"/>
  <c r="I135" i="1"/>
  <c r="K135" i="1" s="1"/>
  <c r="G135" i="1"/>
  <c r="H135" i="1" s="1"/>
  <c r="E135" i="1"/>
  <c r="F135" i="1" s="1"/>
  <c r="C135" i="1"/>
  <c r="V134" i="1"/>
  <c r="R134" i="1"/>
  <c r="O134" i="1"/>
  <c r="L134" i="1"/>
  <c r="I134" i="1"/>
  <c r="E134" i="1"/>
  <c r="F134" i="1" s="1"/>
  <c r="C134" i="1"/>
  <c r="V133" i="1"/>
  <c r="R133" i="1"/>
  <c r="O133" i="1"/>
  <c r="L133" i="1"/>
  <c r="I133" i="1"/>
  <c r="K133" i="1" s="1"/>
  <c r="G133" i="1"/>
  <c r="H133" i="1" s="1"/>
  <c r="F133" i="1"/>
  <c r="E133" i="1"/>
  <c r="C133" i="1"/>
  <c r="V132" i="1"/>
  <c r="R132" i="1"/>
  <c r="P132" i="1"/>
  <c r="O132" i="1"/>
  <c r="L132" i="1"/>
  <c r="K132" i="1"/>
  <c r="I132" i="1"/>
  <c r="F132" i="1"/>
  <c r="E132" i="1"/>
  <c r="C132" i="1"/>
  <c r="W131" i="1"/>
  <c r="Y131" i="1" s="1"/>
  <c r="V131" i="1"/>
  <c r="S131" i="1"/>
  <c r="T131" i="1" s="1"/>
  <c r="R131" i="1"/>
  <c r="O131" i="1"/>
  <c r="L131" i="1"/>
  <c r="I131" i="1"/>
  <c r="K131" i="1" s="1"/>
  <c r="E131" i="1"/>
  <c r="F131" i="1" s="1"/>
  <c r="C131" i="1"/>
  <c r="V130" i="1"/>
  <c r="R130" i="1"/>
  <c r="O130" i="1"/>
  <c r="M130" i="1"/>
  <c r="L130" i="1"/>
  <c r="I130" i="1"/>
  <c r="E130" i="1"/>
  <c r="F130" i="1" s="1"/>
  <c r="C130" i="1"/>
  <c r="V129" i="1"/>
  <c r="R129" i="1"/>
  <c r="O129" i="1"/>
  <c r="L129" i="1"/>
  <c r="K129" i="1"/>
  <c r="I129" i="1"/>
  <c r="E129" i="1"/>
  <c r="F129" i="1" s="1"/>
  <c r="C129" i="1"/>
  <c r="V128" i="1"/>
  <c r="S128" i="1"/>
  <c r="T128" i="1" s="1"/>
  <c r="R128" i="1"/>
  <c r="O128" i="1"/>
  <c r="M128" i="1"/>
  <c r="L128" i="1"/>
  <c r="I128" i="1"/>
  <c r="F128" i="1"/>
  <c r="G128" i="1" s="1"/>
  <c r="H128" i="1" s="1"/>
  <c r="E128" i="1"/>
  <c r="C128" i="1"/>
  <c r="W127" i="1"/>
  <c r="Y127" i="1" s="1"/>
  <c r="V127" i="1"/>
  <c r="R127" i="1"/>
  <c r="O127" i="1"/>
  <c r="M127" i="1"/>
  <c r="L127" i="1"/>
  <c r="I127" i="1"/>
  <c r="K127" i="1" s="1"/>
  <c r="G127" i="1"/>
  <c r="H127" i="1" s="1"/>
  <c r="E127" i="1"/>
  <c r="F127" i="1" s="1"/>
  <c r="C127" i="1"/>
  <c r="V126" i="1"/>
  <c r="R126" i="1"/>
  <c r="O126" i="1"/>
  <c r="L126" i="1"/>
  <c r="I126" i="1"/>
  <c r="E126" i="1"/>
  <c r="F126" i="1" s="1"/>
  <c r="C126" i="1"/>
  <c r="V125" i="1"/>
  <c r="R125" i="1"/>
  <c r="O125" i="1"/>
  <c r="L125" i="1"/>
  <c r="I125" i="1"/>
  <c r="K125" i="1" s="1"/>
  <c r="G125" i="1"/>
  <c r="H125" i="1" s="1"/>
  <c r="F125" i="1"/>
  <c r="E125" i="1"/>
  <c r="C125" i="1"/>
  <c r="V124" i="1"/>
  <c r="R124" i="1"/>
  <c r="P124" i="1"/>
  <c r="O124" i="1"/>
  <c r="L124" i="1"/>
  <c r="K124" i="1"/>
  <c r="I124" i="1"/>
  <c r="F124" i="1"/>
  <c r="E124" i="1"/>
  <c r="C124" i="1"/>
  <c r="W123" i="1"/>
  <c r="Y123" i="1" s="1"/>
  <c r="V123" i="1"/>
  <c r="S123" i="1"/>
  <c r="T123" i="1" s="1"/>
  <c r="R123" i="1"/>
  <c r="O123" i="1"/>
  <c r="L123" i="1"/>
  <c r="I123" i="1"/>
  <c r="K123" i="1" s="1"/>
  <c r="E123" i="1"/>
  <c r="F123" i="1" s="1"/>
  <c r="C123" i="1"/>
  <c r="V122" i="1"/>
  <c r="R122" i="1"/>
  <c r="O122" i="1"/>
  <c r="M122" i="1"/>
  <c r="L122" i="1"/>
  <c r="I122" i="1"/>
  <c r="E122" i="1"/>
  <c r="F122" i="1" s="1"/>
  <c r="C122" i="1"/>
  <c r="V121" i="1"/>
  <c r="R121" i="1"/>
  <c r="O121" i="1"/>
  <c r="L121" i="1"/>
  <c r="K121" i="1"/>
  <c r="I121" i="1"/>
  <c r="E121" i="1"/>
  <c r="F121" i="1" s="1"/>
  <c r="C121" i="1"/>
  <c r="V120" i="1"/>
  <c r="R120" i="1"/>
  <c r="O120" i="1"/>
  <c r="L120" i="1"/>
  <c r="I120" i="1"/>
  <c r="K120" i="1" s="1"/>
  <c r="F120" i="1"/>
  <c r="E120" i="1"/>
  <c r="C120" i="1"/>
  <c r="V119" i="1"/>
  <c r="R119" i="1"/>
  <c r="O119" i="1"/>
  <c r="L119" i="1"/>
  <c r="I119" i="1"/>
  <c r="F119" i="1"/>
  <c r="E119" i="1"/>
  <c r="C119" i="1"/>
  <c r="W118" i="1"/>
  <c r="Y118" i="1" s="1"/>
  <c r="V118" i="1"/>
  <c r="R118" i="1"/>
  <c r="O118" i="1"/>
  <c r="L118" i="1"/>
  <c r="I118" i="1"/>
  <c r="K118" i="1" s="1"/>
  <c r="E118" i="1"/>
  <c r="F118" i="1" s="1"/>
  <c r="P118" i="1" s="1"/>
  <c r="C118" i="1"/>
  <c r="V117" i="1"/>
  <c r="S117" i="1"/>
  <c r="T117" i="1" s="1"/>
  <c r="R117" i="1"/>
  <c r="O117" i="1"/>
  <c r="L117" i="1"/>
  <c r="I117" i="1"/>
  <c r="K117" i="1" s="1"/>
  <c r="E117" i="1"/>
  <c r="F117" i="1" s="1"/>
  <c r="C117" i="1"/>
  <c r="V116" i="1"/>
  <c r="R116" i="1"/>
  <c r="O116" i="1"/>
  <c r="L116" i="1"/>
  <c r="I116" i="1"/>
  <c r="F116" i="1"/>
  <c r="E116" i="1"/>
  <c r="C116" i="1"/>
  <c r="V115" i="1"/>
  <c r="R115" i="1"/>
  <c r="O115" i="1"/>
  <c r="L115" i="1"/>
  <c r="I115" i="1"/>
  <c r="F115" i="1"/>
  <c r="E115" i="1"/>
  <c r="C115" i="1"/>
  <c r="W114" i="1"/>
  <c r="Y114" i="1" s="1"/>
  <c r="V114" i="1"/>
  <c r="R114" i="1"/>
  <c r="O114" i="1"/>
  <c r="L114" i="1"/>
  <c r="I114" i="1"/>
  <c r="K114" i="1" s="1"/>
  <c r="E114" i="1"/>
  <c r="F114" i="1" s="1"/>
  <c r="P114" i="1" s="1"/>
  <c r="C114" i="1"/>
  <c r="V113" i="1"/>
  <c r="S113" i="1"/>
  <c r="T113" i="1" s="1"/>
  <c r="R113" i="1"/>
  <c r="O113" i="1"/>
  <c r="L113" i="1"/>
  <c r="I113" i="1"/>
  <c r="K113" i="1" s="1"/>
  <c r="E113" i="1"/>
  <c r="F113" i="1" s="1"/>
  <c r="C113" i="1"/>
  <c r="V112" i="1"/>
  <c r="R112" i="1"/>
  <c r="O112" i="1"/>
  <c r="L112" i="1"/>
  <c r="I112" i="1"/>
  <c r="K112" i="1" s="1"/>
  <c r="F112" i="1"/>
  <c r="E112" i="1"/>
  <c r="C112" i="1"/>
  <c r="V111" i="1"/>
  <c r="R111" i="1"/>
  <c r="O111" i="1"/>
  <c r="L111" i="1"/>
  <c r="I111" i="1"/>
  <c r="F111" i="1"/>
  <c r="E111" i="1"/>
  <c r="C111" i="1"/>
  <c r="W110" i="1"/>
  <c r="Y110" i="1" s="1"/>
  <c r="V110" i="1"/>
  <c r="R110" i="1"/>
  <c r="O110" i="1"/>
  <c r="L110" i="1"/>
  <c r="I110" i="1"/>
  <c r="K110" i="1" s="1"/>
  <c r="E110" i="1"/>
  <c r="F110" i="1" s="1"/>
  <c r="P110" i="1" s="1"/>
  <c r="C110" i="1"/>
  <c r="V109" i="1"/>
  <c r="S109" i="1"/>
  <c r="T109" i="1" s="1"/>
  <c r="R109" i="1"/>
  <c r="O109" i="1"/>
  <c r="L109" i="1"/>
  <c r="I109" i="1"/>
  <c r="K109" i="1" s="1"/>
  <c r="E109" i="1"/>
  <c r="F109" i="1" s="1"/>
  <c r="C109" i="1"/>
  <c r="V108" i="1"/>
  <c r="R108" i="1"/>
  <c r="O108" i="1"/>
  <c r="L108" i="1"/>
  <c r="I108" i="1"/>
  <c r="F108" i="1"/>
  <c r="E108" i="1"/>
  <c r="C108" i="1"/>
  <c r="V107" i="1"/>
  <c r="R107" i="1"/>
  <c r="O107" i="1"/>
  <c r="L107" i="1"/>
  <c r="I107" i="1"/>
  <c r="F107" i="1"/>
  <c r="E107" i="1"/>
  <c r="C107" i="1"/>
  <c r="W106" i="1"/>
  <c r="Y106" i="1" s="1"/>
  <c r="V106" i="1"/>
  <c r="R106" i="1"/>
  <c r="O106" i="1"/>
  <c r="L106" i="1"/>
  <c r="I106" i="1"/>
  <c r="K106" i="1" s="1"/>
  <c r="E106" i="1"/>
  <c r="F106" i="1" s="1"/>
  <c r="P106" i="1" s="1"/>
  <c r="C106" i="1"/>
  <c r="V105" i="1"/>
  <c r="S105" i="1"/>
  <c r="T105" i="1" s="1"/>
  <c r="R105" i="1"/>
  <c r="O105" i="1"/>
  <c r="L105" i="1"/>
  <c r="I105" i="1"/>
  <c r="K105" i="1" s="1"/>
  <c r="E105" i="1"/>
  <c r="F105" i="1" s="1"/>
  <c r="C105" i="1"/>
  <c r="V104" i="1"/>
  <c r="R104" i="1"/>
  <c r="O104" i="1"/>
  <c r="L104" i="1"/>
  <c r="I104" i="1"/>
  <c r="K104" i="1" s="1"/>
  <c r="F104" i="1"/>
  <c r="E104" i="1"/>
  <c r="C104" i="1"/>
  <c r="V103" i="1"/>
  <c r="R103" i="1"/>
  <c r="O103" i="1"/>
  <c r="L103" i="1"/>
  <c r="I103" i="1"/>
  <c r="F103" i="1"/>
  <c r="E103" i="1"/>
  <c r="C103" i="1"/>
  <c r="W102" i="1"/>
  <c r="Y102" i="1" s="1"/>
  <c r="V102" i="1"/>
  <c r="R102" i="1"/>
  <c r="O102" i="1"/>
  <c r="L102" i="1"/>
  <c r="I102" i="1"/>
  <c r="K102" i="1" s="1"/>
  <c r="E102" i="1"/>
  <c r="F102" i="1" s="1"/>
  <c r="P102" i="1" s="1"/>
  <c r="C102" i="1"/>
  <c r="V101" i="1"/>
  <c r="S101" i="1"/>
  <c r="T101" i="1" s="1"/>
  <c r="R101" i="1"/>
  <c r="O101" i="1"/>
  <c r="L101" i="1"/>
  <c r="I101" i="1"/>
  <c r="K101" i="1" s="1"/>
  <c r="E101" i="1"/>
  <c r="F101" i="1" s="1"/>
  <c r="C101" i="1"/>
  <c r="V100" i="1"/>
  <c r="R100" i="1"/>
  <c r="O100" i="1"/>
  <c r="L100" i="1"/>
  <c r="I100" i="1"/>
  <c r="F100" i="1"/>
  <c r="E100" i="1"/>
  <c r="C100" i="1"/>
  <c r="V99" i="1"/>
  <c r="R99" i="1"/>
  <c r="O99" i="1"/>
  <c r="L99" i="1"/>
  <c r="I99" i="1"/>
  <c r="F99" i="1"/>
  <c r="E99" i="1"/>
  <c r="C99" i="1"/>
  <c r="W98" i="1"/>
  <c r="Y98" i="1" s="1"/>
  <c r="V98" i="1"/>
  <c r="R98" i="1"/>
  <c r="O98" i="1"/>
  <c r="L98" i="1"/>
  <c r="I98" i="1"/>
  <c r="K98" i="1" s="1"/>
  <c r="E98" i="1"/>
  <c r="F98" i="1" s="1"/>
  <c r="P98" i="1" s="1"/>
  <c r="C98" i="1"/>
  <c r="V97" i="1"/>
  <c r="S97" i="1"/>
  <c r="T97" i="1" s="1"/>
  <c r="R97" i="1"/>
  <c r="O97" i="1"/>
  <c r="L97" i="1"/>
  <c r="I97" i="1"/>
  <c r="K97" i="1" s="1"/>
  <c r="E97" i="1"/>
  <c r="F97" i="1" s="1"/>
  <c r="C97" i="1"/>
  <c r="V96" i="1"/>
  <c r="R96" i="1"/>
  <c r="O96" i="1"/>
  <c r="L96" i="1"/>
  <c r="I96" i="1"/>
  <c r="K96" i="1" s="1"/>
  <c r="F96" i="1"/>
  <c r="E96" i="1"/>
  <c r="C96" i="1"/>
  <c r="V95" i="1"/>
  <c r="R95" i="1"/>
  <c r="O95" i="1"/>
  <c r="L95" i="1"/>
  <c r="I95" i="1"/>
  <c r="F95" i="1"/>
  <c r="E95" i="1"/>
  <c r="C95" i="1"/>
  <c r="W94" i="1"/>
  <c r="Y94" i="1" s="1"/>
  <c r="V94" i="1"/>
  <c r="R94" i="1"/>
  <c r="O94" i="1"/>
  <c r="L94" i="1"/>
  <c r="I94" i="1"/>
  <c r="K94" i="1" s="1"/>
  <c r="E94" i="1"/>
  <c r="F94" i="1" s="1"/>
  <c r="P94" i="1" s="1"/>
  <c r="C94" i="1"/>
  <c r="V93" i="1"/>
  <c r="S93" i="1"/>
  <c r="T93" i="1" s="1"/>
  <c r="R93" i="1"/>
  <c r="O93" i="1"/>
  <c r="L93" i="1"/>
  <c r="I93" i="1"/>
  <c r="K93" i="1" s="1"/>
  <c r="E93" i="1"/>
  <c r="F93" i="1" s="1"/>
  <c r="C93" i="1"/>
  <c r="V92" i="1"/>
  <c r="R92" i="1"/>
  <c r="O92" i="1"/>
  <c r="L92" i="1"/>
  <c r="I92" i="1"/>
  <c r="F92" i="1"/>
  <c r="E92" i="1"/>
  <c r="C92" i="1"/>
  <c r="V91" i="1"/>
  <c r="R91" i="1"/>
  <c r="O91" i="1"/>
  <c r="L91" i="1"/>
  <c r="I91" i="1"/>
  <c r="F91" i="1"/>
  <c r="E91" i="1"/>
  <c r="C91" i="1"/>
  <c r="W90" i="1"/>
  <c r="Y90" i="1" s="1"/>
  <c r="V90" i="1"/>
  <c r="R90" i="1"/>
  <c r="O90" i="1"/>
  <c r="L90" i="1"/>
  <c r="I90" i="1"/>
  <c r="K90" i="1" s="1"/>
  <c r="E90" i="1"/>
  <c r="F90" i="1" s="1"/>
  <c r="P90" i="1" s="1"/>
  <c r="C90" i="1"/>
  <c r="V89" i="1"/>
  <c r="S89" i="1"/>
  <c r="T89" i="1" s="1"/>
  <c r="R89" i="1"/>
  <c r="O89" i="1"/>
  <c r="L89" i="1"/>
  <c r="I89" i="1"/>
  <c r="K89" i="1" s="1"/>
  <c r="E89" i="1"/>
  <c r="F89" i="1" s="1"/>
  <c r="C89" i="1"/>
  <c r="V88" i="1"/>
  <c r="R88" i="1"/>
  <c r="O88" i="1"/>
  <c r="L88" i="1"/>
  <c r="I88" i="1"/>
  <c r="K88" i="1" s="1"/>
  <c r="F88" i="1"/>
  <c r="E88" i="1"/>
  <c r="C88" i="1"/>
  <c r="V87" i="1"/>
  <c r="R87" i="1"/>
  <c r="O87" i="1"/>
  <c r="L87" i="1"/>
  <c r="I87" i="1"/>
  <c r="F87" i="1"/>
  <c r="E87" i="1"/>
  <c r="C87" i="1"/>
  <c r="Y86" i="1"/>
  <c r="W86" i="1"/>
  <c r="V86" i="1"/>
  <c r="R86" i="1"/>
  <c r="O86" i="1"/>
  <c r="L86" i="1"/>
  <c r="I86" i="1"/>
  <c r="K86" i="1" s="1"/>
  <c r="E86" i="1"/>
  <c r="F86" i="1" s="1"/>
  <c r="P86" i="1" s="1"/>
  <c r="C86" i="1"/>
  <c r="V85" i="1"/>
  <c r="S85" i="1"/>
  <c r="T85" i="1" s="1"/>
  <c r="R85" i="1"/>
  <c r="O85" i="1"/>
  <c r="L85" i="1"/>
  <c r="I85" i="1"/>
  <c r="K85" i="1" s="1"/>
  <c r="E85" i="1"/>
  <c r="F85" i="1" s="1"/>
  <c r="C85" i="1"/>
  <c r="V84" i="1"/>
  <c r="R84" i="1"/>
  <c r="O84" i="1"/>
  <c r="L84" i="1"/>
  <c r="I84" i="1"/>
  <c r="K84" i="1" s="1"/>
  <c r="F84" i="1"/>
  <c r="E84" i="1"/>
  <c r="C84" i="1"/>
  <c r="W83" i="1"/>
  <c r="Y83" i="1" s="1"/>
  <c r="V83" i="1"/>
  <c r="R83" i="1"/>
  <c r="O83" i="1"/>
  <c r="L83" i="1"/>
  <c r="I83" i="1"/>
  <c r="F83" i="1"/>
  <c r="E83" i="1"/>
  <c r="C83" i="1"/>
  <c r="W82" i="1"/>
  <c r="Y82" i="1" s="1"/>
  <c r="V82" i="1"/>
  <c r="R82" i="1"/>
  <c r="O82" i="1"/>
  <c r="L82" i="1"/>
  <c r="I82" i="1"/>
  <c r="K82" i="1" s="1"/>
  <c r="E82" i="1"/>
  <c r="F82" i="1" s="1"/>
  <c r="P82" i="1" s="1"/>
  <c r="C82" i="1"/>
  <c r="V81" i="1"/>
  <c r="S81" i="1"/>
  <c r="T81" i="1" s="1"/>
  <c r="R81" i="1"/>
  <c r="O81" i="1"/>
  <c r="L81" i="1"/>
  <c r="I81" i="1"/>
  <c r="K81" i="1" s="1"/>
  <c r="E81" i="1"/>
  <c r="F81" i="1" s="1"/>
  <c r="C81" i="1"/>
  <c r="V80" i="1"/>
  <c r="R80" i="1"/>
  <c r="O80" i="1"/>
  <c r="L80" i="1"/>
  <c r="I80" i="1"/>
  <c r="F80" i="1"/>
  <c r="E80" i="1"/>
  <c r="C80" i="1"/>
  <c r="V79" i="1"/>
  <c r="W79" i="1" s="1"/>
  <c r="Y79" i="1" s="1"/>
  <c r="R79" i="1"/>
  <c r="O79" i="1"/>
  <c r="L79" i="1"/>
  <c r="I79" i="1"/>
  <c r="G79" i="1"/>
  <c r="H79" i="1" s="1"/>
  <c r="F79" i="1"/>
  <c r="E79" i="1"/>
  <c r="C79" i="1"/>
  <c r="Y78" i="1"/>
  <c r="W78" i="1"/>
  <c r="V78" i="1"/>
  <c r="R78" i="1"/>
  <c r="O78" i="1"/>
  <c r="L78" i="1"/>
  <c r="I78" i="1"/>
  <c r="K78" i="1" s="1"/>
  <c r="E78" i="1"/>
  <c r="F78" i="1" s="1"/>
  <c r="P78" i="1" s="1"/>
  <c r="C78" i="1"/>
  <c r="V77" i="1"/>
  <c r="S77" i="1"/>
  <c r="T77" i="1" s="1"/>
  <c r="R77" i="1"/>
  <c r="O77" i="1"/>
  <c r="L77" i="1"/>
  <c r="I77" i="1"/>
  <c r="K77" i="1" s="1"/>
  <c r="E77" i="1"/>
  <c r="F77" i="1" s="1"/>
  <c r="C77" i="1"/>
  <c r="V76" i="1"/>
  <c r="R76" i="1"/>
  <c r="O76" i="1"/>
  <c r="L76" i="1"/>
  <c r="I76" i="1"/>
  <c r="K76" i="1" s="1"/>
  <c r="F76" i="1"/>
  <c r="E76" i="1"/>
  <c r="C76" i="1"/>
  <c r="W75" i="1"/>
  <c r="Y75" i="1" s="1"/>
  <c r="V75" i="1"/>
  <c r="R75" i="1"/>
  <c r="O75" i="1"/>
  <c r="L75" i="1"/>
  <c r="I75" i="1"/>
  <c r="F75" i="1"/>
  <c r="E75" i="1"/>
  <c r="C75" i="1"/>
  <c r="W74" i="1"/>
  <c r="Y74" i="1" s="1"/>
  <c r="V74" i="1"/>
  <c r="R74" i="1"/>
  <c r="O74" i="1"/>
  <c r="L74" i="1"/>
  <c r="I74" i="1"/>
  <c r="K74" i="1" s="1"/>
  <c r="E74" i="1"/>
  <c r="F74" i="1" s="1"/>
  <c r="P74" i="1" s="1"/>
  <c r="C74" i="1"/>
  <c r="V73" i="1"/>
  <c r="S73" i="1"/>
  <c r="T73" i="1" s="1"/>
  <c r="R73" i="1"/>
  <c r="O73" i="1"/>
  <c r="L73" i="1"/>
  <c r="I73" i="1"/>
  <c r="K73" i="1" s="1"/>
  <c r="E73" i="1"/>
  <c r="F73" i="1" s="1"/>
  <c r="C73" i="1"/>
  <c r="V72" i="1"/>
  <c r="R72" i="1"/>
  <c r="O72" i="1"/>
  <c r="L72" i="1"/>
  <c r="I72" i="1"/>
  <c r="F72" i="1"/>
  <c r="E72" i="1"/>
  <c r="C72" i="1"/>
  <c r="V71" i="1"/>
  <c r="W71" i="1" s="1"/>
  <c r="Y71" i="1" s="1"/>
  <c r="R71" i="1"/>
  <c r="O71" i="1"/>
  <c r="L71" i="1"/>
  <c r="I71" i="1"/>
  <c r="G71" i="1"/>
  <c r="H71" i="1" s="1"/>
  <c r="F71" i="1"/>
  <c r="E71" i="1"/>
  <c r="C71" i="1"/>
  <c r="Y70" i="1"/>
  <c r="W70" i="1"/>
  <c r="V70" i="1"/>
  <c r="R70" i="1"/>
  <c r="O70" i="1"/>
  <c r="L70" i="1"/>
  <c r="I70" i="1"/>
  <c r="K70" i="1" s="1"/>
  <c r="E70" i="1"/>
  <c r="F70" i="1" s="1"/>
  <c r="P70" i="1" s="1"/>
  <c r="C70" i="1"/>
  <c r="V69" i="1"/>
  <c r="S69" i="1"/>
  <c r="T69" i="1" s="1"/>
  <c r="R69" i="1"/>
  <c r="O69" i="1"/>
  <c r="L69" i="1"/>
  <c r="I69" i="1"/>
  <c r="K69" i="1" s="1"/>
  <c r="E69" i="1"/>
  <c r="F69" i="1" s="1"/>
  <c r="C69" i="1"/>
  <c r="V68" i="1"/>
  <c r="R68" i="1"/>
  <c r="O68" i="1"/>
  <c r="L68" i="1"/>
  <c r="I68" i="1"/>
  <c r="K68" i="1" s="1"/>
  <c r="F68" i="1"/>
  <c r="E68" i="1"/>
  <c r="C68" i="1"/>
  <c r="W67" i="1"/>
  <c r="Y67" i="1" s="1"/>
  <c r="V67" i="1"/>
  <c r="R67" i="1"/>
  <c r="O67" i="1"/>
  <c r="L67" i="1"/>
  <c r="I67" i="1"/>
  <c r="F67" i="1"/>
  <c r="E67" i="1"/>
  <c r="C67" i="1"/>
  <c r="W66" i="1"/>
  <c r="Y66" i="1" s="1"/>
  <c r="V66" i="1"/>
  <c r="R66" i="1"/>
  <c r="O66" i="1"/>
  <c r="L66" i="1"/>
  <c r="I66" i="1"/>
  <c r="K66" i="1" s="1"/>
  <c r="E66" i="1"/>
  <c r="F66" i="1" s="1"/>
  <c r="P66" i="1" s="1"/>
  <c r="C66" i="1"/>
  <c r="V65" i="1"/>
  <c r="S65" i="1"/>
  <c r="T65" i="1" s="1"/>
  <c r="R65" i="1"/>
  <c r="O65" i="1"/>
  <c r="L65" i="1"/>
  <c r="I65" i="1"/>
  <c r="K65" i="1" s="1"/>
  <c r="E65" i="1"/>
  <c r="F65" i="1" s="1"/>
  <c r="C65" i="1"/>
  <c r="V64" i="1"/>
  <c r="R64" i="1"/>
  <c r="O64" i="1"/>
  <c r="L64" i="1"/>
  <c r="I64" i="1"/>
  <c r="F64" i="1"/>
  <c r="E64" i="1"/>
  <c r="C64" i="1"/>
  <c r="V63" i="1"/>
  <c r="W63" i="1" s="1"/>
  <c r="Y63" i="1" s="1"/>
  <c r="R63" i="1"/>
  <c r="O63" i="1"/>
  <c r="L63" i="1"/>
  <c r="I63" i="1"/>
  <c r="G63" i="1"/>
  <c r="H63" i="1" s="1"/>
  <c r="F63" i="1"/>
  <c r="E63" i="1"/>
  <c r="C63" i="1"/>
  <c r="Y62" i="1"/>
  <c r="W62" i="1"/>
  <c r="V62" i="1"/>
  <c r="R62" i="1"/>
  <c r="O62" i="1"/>
  <c r="L62" i="1"/>
  <c r="I62" i="1"/>
  <c r="K62" i="1" s="1"/>
  <c r="E62" i="1"/>
  <c r="F62" i="1" s="1"/>
  <c r="P62" i="1" s="1"/>
  <c r="C62" i="1"/>
  <c r="V61" i="1"/>
  <c r="S61" i="1"/>
  <c r="T61" i="1" s="1"/>
  <c r="R61" i="1"/>
  <c r="O61" i="1"/>
  <c r="L61" i="1"/>
  <c r="I61" i="1"/>
  <c r="K61" i="1" s="1"/>
  <c r="E61" i="1"/>
  <c r="F61" i="1" s="1"/>
  <c r="C61" i="1"/>
  <c r="V60" i="1"/>
  <c r="R60" i="1"/>
  <c r="O60" i="1"/>
  <c r="L60" i="1"/>
  <c r="I60" i="1"/>
  <c r="K60" i="1" s="1"/>
  <c r="F60" i="1"/>
  <c r="E60" i="1"/>
  <c r="C60" i="1"/>
  <c r="W59" i="1"/>
  <c r="Y59" i="1" s="1"/>
  <c r="V59" i="1"/>
  <c r="R59" i="1"/>
  <c r="O59" i="1"/>
  <c r="L59" i="1"/>
  <c r="I59" i="1"/>
  <c r="F59" i="1"/>
  <c r="E59" i="1"/>
  <c r="C59" i="1"/>
  <c r="W58" i="1"/>
  <c r="Y58" i="1" s="1"/>
  <c r="V58" i="1"/>
  <c r="R58" i="1"/>
  <c r="O58" i="1"/>
  <c r="L58" i="1"/>
  <c r="I58" i="1"/>
  <c r="K58" i="1" s="1"/>
  <c r="E58" i="1"/>
  <c r="F58" i="1" s="1"/>
  <c r="P58" i="1" s="1"/>
  <c r="C58" i="1"/>
  <c r="V57" i="1"/>
  <c r="S57" i="1"/>
  <c r="T57" i="1" s="1"/>
  <c r="R57" i="1"/>
  <c r="O57" i="1"/>
  <c r="L57" i="1"/>
  <c r="I57" i="1"/>
  <c r="K57" i="1" s="1"/>
  <c r="E57" i="1"/>
  <c r="F57" i="1" s="1"/>
  <c r="C57" i="1"/>
  <c r="V56" i="1"/>
  <c r="R56" i="1"/>
  <c r="O56" i="1"/>
  <c r="L56" i="1"/>
  <c r="I56" i="1"/>
  <c r="F56" i="1"/>
  <c r="E56" i="1"/>
  <c r="C56" i="1"/>
  <c r="V55" i="1"/>
  <c r="W55" i="1" s="1"/>
  <c r="Y55" i="1" s="1"/>
  <c r="R55" i="1"/>
  <c r="O55" i="1"/>
  <c r="L55" i="1"/>
  <c r="I55" i="1"/>
  <c r="G55" i="1"/>
  <c r="H55" i="1" s="1"/>
  <c r="F55" i="1"/>
  <c r="E55" i="1"/>
  <c r="C55" i="1"/>
  <c r="Y54" i="1"/>
  <c r="W54" i="1"/>
  <c r="V54" i="1"/>
  <c r="R54" i="1"/>
  <c r="O54" i="1"/>
  <c r="L54" i="1"/>
  <c r="I54" i="1"/>
  <c r="K54" i="1" s="1"/>
  <c r="E54" i="1"/>
  <c r="F54" i="1" s="1"/>
  <c r="P54" i="1" s="1"/>
  <c r="C54" i="1"/>
  <c r="V53" i="1"/>
  <c r="S53" i="1"/>
  <c r="T53" i="1" s="1"/>
  <c r="R53" i="1"/>
  <c r="O53" i="1"/>
  <c r="L53" i="1"/>
  <c r="K53" i="1"/>
  <c r="I53" i="1"/>
  <c r="E53" i="1"/>
  <c r="F53" i="1" s="1"/>
  <c r="C53" i="1"/>
  <c r="V52" i="1"/>
  <c r="R52" i="1"/>
  <c r="O52" i="1"/>
  <c r="L52" i="1"/>
  <c r="I52" i="1"/>
  <c r="K52" i="1" s="1"/>
  <c r="E52" i="1"/>
  <c r="F52" i="1" s="1"/>
  <c r="C52" i="1"/>
  <c r="W51" i="1"/>
  <c r="Y51" i="1" s="1"/>
  <c r="V51" i="1"/>
  <c r="R51" i="1"/>
  <c r="P51" i="1"/>
  <c r="O51" i="1"/>
  <c r="L51" i="1"/>
  <c r="K51" i="1"/>
  <c r="I51" i="1"/>
  <c r="G51" i="1"/>
  <c r="H51" i="1" s="1"/>
  <c r="F51" i="1"/>
  <c r="E51" i="1"/>
  <c r="C51" i="1"/>
  <c r="V50" i="1"/>
  <c r="R50" i="1"/>
  <c r="O50" i="1"/>
  <c r="L50" i="1"/>
  <c r="I50" i="1"/>
  <c r="E50" i="1"/>
  <c r="F50" i="1" s="1"/>
  <c r="C50" i="1"/>
  <c r="V49" i="1"/>
  <c r="S49" i="1"/>
  <c r="T49" i="1" s="1"/>
  <c r="R49" i="1"/>
  <c r="O49" i="1"/>
  <c r="M49" i="1"/>
  <c r="L49" i="1"/>
  <c r="I49" i="1"/>
  <c r="E49" i="1"/>
  <c r="F49" i="1" s="1"/>
  <c r="C49" i="1"/>
  <c r="V48" i="1"/>
  <c r="R48" i="1"/>
  <c r="O48" i="1"/>
  <c r="L48" i="1"/>
  <c r="I48" i="1"/>
  <c r="K48" i="1" s="1"/>
  <c r="E48" i="1"/>
  <c r="F48" i="1" s="1"/>
  <c r="C48" i="1"/>
  <c r="V47" i="1"/>
  <c r="R47" i="1"/>
  <c r="P47" i="1"/>
  <c r="O47" i="1"/>
  <c r="L47" i="1"/>
  <c r="K47" i="1"/>
  <c r="I47" i="1"/>
  <c r="F47" i="1"/>
  <c r="E47" i="1"/>
  <c r="C47" i="1"/>
  <c r="W46" i="1"/>
  <c r="Y46" i="1" s="1"/>
  <c r="V46" i="1"/>
  <c r="R46" i="1"/>
  <c r="O46" i="1"/>
  <c r="L46" i="1"/>
  <c r="I46" i="1"/>
  <c r="K46" i="1" s="1"/>
  <c r="E46" i="1"/>
  <c r="F46" i="1" s="1"/>
  <c r="C46" i="1"/>
  <c r="V45" i="1"/>
  <c r="S45" i="1"/>
  <c r="T45" i="1" s="1"/>
  <c r="R45" i="1"/>
  <c r="O45" i="1"/>
  <c r="L45" i="1"/>
  <c r="I45" i="1"/>
  <c r="K45" i="1" s="1"/>
  <c r="F45" i="1"/>
  <c r="E45" i="1"/>
  <c r="C45" i="1"/>
  <c r="V44" i="1"/>
  <c r="R44" i="1"/>
  <c r="P44" i="1"/>
  <c r="O44" i="1"/>
  <c r="L44" i="1"/>
  <c r="I44" i="1"/>
  <c r="K44" i="1" s="1"/>
  <c r="G44" i="1"/>
  <c r="H44" i="1" s="1"/>
  <c r="E44" i="1"/>
  <c r="F44" i="1" s="1"/>
  <c r="C44" i="1"/>
  <c r="Y43" i="1"/>
  <c r="V43" i="1"/>
  <c r="R43" i="1"/>
  <c r="S43" i="1" s="1"/>
  <c r="T43" i="1" s="1"/>
  <c r="O43" i="1"/>
  <c r="M43" i="1"/>
  <c r="L43" i="1"/>
  <c r="I43" i="1"/>
  <c r="G43" i="1"/>
  <c r="H43" i="1" s="1"/>
  <c r="F43" i="1"/>
  <c r="W43" i="1" s="1"/>
  <c r="E43" i="1"/>
  <c r="C43" i="1"/>
  <c r="V42" i="1"/>
  <c r="S42" i="1"/>
  <c r="T42" i="1" s="1"/>
  <c r="R42" i="1"/>
  <c r="O42" i="1"/>
  <c r="L42" i="1"/>
  <c r="I42" i="1"/>
  <c r="E42" i="1"/>
  <c r="F42" i="1" s="1"/>
  <c r="C42" i="1"/>
  <c r="V41" i="1"/>
  <c r="R41" i="1"/>
  <c r="O41" i="1"/>
  <c r="L41" i="1"/>
  <c r="I41" i="1"/>
  <c r="K41" i="1" s="1"/>
  <c r="E41" i="1"/>
  <c r="F41" i="1" s="1"/>
  <c r="C41" i="1"/>
  <c r="V40" i="1"/>
  <c r="R40" i="1"/>
  <c r="O40" i="1"/>
  <c r="L40" i="1"/>
  <c r="I40" i="1"/>
  <c r="E40" i="1"/>
  <c r="F40" i="1" s="1"/>
  <c r="C40" i="1"/>
  <c r="V39" i="1"/>
  <c r="R39" i="1"/>
  <c r="O39" i="1"/>
  <c r="L39" i="1"/>
  <c r="I39" i="1"/>
  <c r="F39" i="1"/>
  <c r="K39" i="1" s="1"/>
  <c r="E39" i="1"/>
  <c r="C39" i="1"/>
  <c r="W38" i="1"/>
  <c r="Y38" i="1" s="1"/>
  <c r="V38" i="1"/>
  <c r="R38" i="1"/>
  <c r="O38" i="1"/>
  <c r="L38" i="1"/>
  <c r="I38" i="1"/>
  <c r="K38" i="1" s="1"/>
  <c r="E38" i="1"/>
  <c r="F38" i="1" s="1"/>
  <c r="C38" i="1"/>
  <c r="V37" i="1"/>
  <c r="S37" i="1"/>
  <c r="T37" i="1" s="1"/>
  <c r="R37" i="1"/>
  <c r="O37" i="1"/>
  <c r="L37" i="1"/>
  <c r="I37" i="1"/>
  <c r="K37" i="1" s="1"/>
  <c r="F37" i="1"/>
  <c r="E37" i="1"/>
  <c r="C37" i="1"/>
  <c r="V36" i="1"/>
  <c r="R36" i="1"/>
  <c r="O36" i="1"/>
  <c r="L36" i="1"/>
  <c r="I36" i="1"/>
  <c r="E36" i="1"/>
  <c r="F36" i="1" s="1"/>
  <c r="P36" i="1" s="1"/>
  <c r="C36" i="1"/>
  <c r="V35" i="1"/>
  <c r="S35" i="1"/>
  <c r="T35" i="1" s="1"/>
  <c r="R35" i="1"/>
  <c r="O35" i="1"/>
  <c r="L35" i="1"/>
  <c r="M35" i="1" s="1"/>
  <c r="I35" i="1"/>
  <c r="G35" i="1"/>
  <c r="H35" i="1" s="1"/>
  <c r="F35" i="1"/>
  <c r="W35" i="1" s="1"/>
  <c r="Y35" i="1" s="1"/>
  <c r="E35" i="1"/>
  <c r="C35" i="1"/>
  <c r="V34" i="1"/>
  <c r="S34" i="1"/>
  <c r="T34" i="1" s="1"/>
  <c r="R34" i="1"/>
  <c r="O34" i="1"/>
  <c r="L34" i="1"/>
  <c r="I34" i="1"/>
  <c r="G34" i="1"/>
  <c r="H34" i="1" s="1"/>
  <c r="E34" i="1"/>
  <c r="F34" i="1" s="1"/>
  <c r="C34" i="1"/>
  <c r="V33" i="1"/>
  <c r="R33" i="1"/>
  <c r="O33" i="1"/>
  <c r="L33" i="1"/>
  <c r="I33" i="1"/>
  <c r="K33" i="1" s="1"/>
  <c r="E33" i="1"/>
  <c r="F33" i="1" s="1"/>
  <c r="C33" i="1"/>
  <c r="V32" i="1"/>
  <c r="R32" i="1"/>
  <c r="O32" i="1"/>
  <c r="L32" i="1"/>
  <c r="I32" i="1"/>
  <c r="F32" i="1"/>
  <c r="K32" i="1" s="1"/>
  <c r="E32" i="1"/>
  <c r="C32" i="1"/>
  <c r="V31" i="1"/>
  <c r="R31" i="1"/>
  <c r="O31" i="1"/>
  <c r="L31" i="1"/>
  <c r="I31" i="1"/>
  <c r="F31" i="1"/>
  <c r="E31" i="1"/>
  <c r="C31" i="1"/>
  <c r="W30" i="1"/>
  <c r="Y30" i="1" s="1"/>
  <c r="V30" i="1"/>
  <c r="R30" i="1"/>
  <c r="O30" i="1"/>
  <c r="L30" i="1"/>
  <c r="I30" i="1"/>
  <c r="K30" i="1" s="1"/>
  <c r="E30" i="1"/>
  <c r="F30" i="1" s="1"/>
  <c r="C30" i="1"/>
  <c r="V29" i="1"/>
  <c r="R29" i="1"/>
  <c r="O29" i="1"/>
  <c r="L29" i="1"/>
  <c r="I29" i="1"/>
  <c r="F29" i="1"/>
  <c r="S29" i="1" s="1"/>
  <c r="T29" i="1" s="1"/>
  <c r="E29" i="1"/>
  <c r="C29" i="1"/>
  <c r="V28" i="1"/>
  <c r="R28" i="1"/>
  <c r="O28" i="1"/>
  <c r="L28" i="1"/>
  <c r="I28" i="1"/>
  <c r="E28" i="1"/>
  <c r="F28" i="1" s="1"/>
  <c r="C28" i="1"/>
  <c r="V27" i="1"/>
  <c r="R27" i="1"/>
  <c r="S27" i="1" s="1"/>
  <c r="T27" i="1" s="1"/>
  <c r="O27" i="1"/>
  <c r="L27" i="1"/>
  <c r="M27" i="1" s="1"/>
  <c r="I27" i="1"/>
  <c r="G27" i="1"/>
  <c r="H27" i="1" s="1"/>
  <c r="F27" i="1"/>
  <c r="W27" i="1" s="1"/>
  <c r="Y27" i="1" s="1"/>
  <c r="E27" i="1"/>
  <c r="C27" i="1"/>
  <c r="V26" i="1"/>
  <c r="R26" i="1"/>
  <c r="O26" i="1"/>
  <c r="M26" i="1"/>
  <c r="L26" i="1"/>
  <c r="I26" i="1"/>
  <c r="E26" i="1"/>
  <c r="F26" i="1" s="1"/>
  <c r="S26" i="1" s="1"/>
  <c r="T26" i="1" s="1"/>
  <c r="C26" i="1"/>
  <c r="V25" i="1"/>
  <c r="R25" i="1"/>
  <c r="O25" i="1"/>
  <c r="L25" i="1"/>
  <c r="K25" i="1"/>
  <c r="I25" i="1"/>
  <c r="E25" i="1"/>
  <c r="F25" i="1" s="1"/>
  <c r="C25" i="1"/>
  <c r="V24" i="1"/>
  <c r="R24" i="1"/>
  <c r="O24" i="1"/>
  <c r="L24" i="1"/>
  <c r="I24" i="1"/>
  <c r="E24" i="1"/>
  <c r="F24" i="1" s="1"/>
  <c r="C24" i="1"/>
  <c r="V23" i="1"/>
  <c r="R23" i="1"/>
  <c r="O23" i="1"/>
  <c r="L23" i="1"/>
  <c r="K23" i="1"/>
  <c r="I23" i="1"/>
  <c r="F23" i="1"/>
  <c r="E23" i="1"/>
  <c r="C23" i="1"/>
  <c r="W22" i="1"/>
  <c r="Y22" i="1" s="1"/>
  <c r="V22" i="1"/>
  <c r="R22" i="1"/>
  <c r="O22" i="1"/>
  <c r="L22" i="1"/>
  <c r="I22" i="1"/>
  <c r="K22" i="1" s="1"/>
  <c r="E22" i="1"/>
  <c r="F22" i="1" s="1"/>
  <c r="C22" i="1"/>
  <c r="V21" i="1"/>
  <c r="S21" i="1"/>
  <c r="T21" i="1" s="1"/>
  <c r="R21" i="1"/>
  <c r="O21" i="1"/>
  <c r="L21" i="1"/>
  <c r="I21" i="1"/>
  <c r="F21" i="1"/>
  <c r="E21" i="1"/>
  <c r="C21" i="1"/>
  <c r="V20" i="1"/>
  <c r="W20" i="1" s="1"/>
  <c r="Y20" i="1" s="1"/>
  <c r="O20" i="1"/>
  <c r="L20" i="1"/>
  <c r="M20" i="1" s="1"/>
  <c r="I20" i="1"/>
  <c r="F20" i="1"/>
  <c r="P20" i="1" s="1"/>
  <c r="E20" i="1"/>
  <c r="C20" i="1"/>
  <c r="G20" i="1" s="1"/>
  <c r="H20" i="1" s="1"/>
  <c r="V19" i="1"/>
  <c r="O19" i="1"/>
  <c r="L19" i="1"/>
  <c r="I19" i="1"/>
  <c r="K19" i="1" s="1"/>
  <c r="E19" i="1"/>
  <c r="F19" i="1" s="1"/>
  <c r="C19" i="1"/>
  <c r="V18" i="1"/>
  <c r="O18" i="1"/>
  <c r="L18" i="1"/>
  <c r="I18" i="1"/>
  <c r="F18" i="1"/>
  <c r="K18" i="1" s="1"/>
  <c r="E18" i="1"/>
  <c r="C18" i="1"/>
  <c r="W17" i="1"/>
  <c r="Y17" i="1" s="1"/>
  <c r="V17" i="1"/>
  <c r="O17" i="1"/>
  <c r="L17" i="1"/>
  <c r="I17" i="1"/>
  <c r="K17" i="1" s="1"/>
  <c r="F17" i="1"/>
  <c r="E17" i="1"/>
  <c r="C17" i="1"/>
  <c r="V16" i="1"/>
  <c r="W16" i="1" s="1"/>
  <c r="Y16" i="1" s="1"/>
  <c r="O16" i="1"/>
  <c r="M16" i="1"/>
  <c r="L16" i="1"/>
  <c r="I16" i="1"/>
  <c r="G16" i="1"/>
  <c r="H16" i="1" s="1"/>
  <c r="F16" i="1"/>
  <c r="P16" i="1" s="1"/>
  <c r="E16" i="1"/>
  <c r="C16" i="1"/>
  <c r="P15" i="1"/>
  <c r="O15" i="1"/>
  <c r="L15" i="1"/>
  <c r="I15" i="1"/>
  <c r="K15" i="1" s="1"/>
  <c r="E15" i="1"/>
  <c r="F15" i="1" s="1"/>
  <c r="C15" i="1"/>
  <c r="O14" i="1"/>
  <c r="L14" i="1"/>
  <c r="I14" i="1"/>
  <c r="F14" i="1"/>
  <c r="M14" i="1" s="1"/>
  <c r="E14" i="1"/>
  <c r="C14" i="1"/>
  <c r="O13" i="1"/>
  <c r="M13" i="1"/>
  <c r="L13" i="1"/>
  <c r="I13" i="1"/>
  <c r="K13" i="1" s="1"/>
  <c r="G13" i="1"/>
  <c r="H13" i="1" s="1"/>
  <c r="E13" i="1"/>
  <c r="F13" i="1" s="1"/>
  <c r="C13" i="1"/>
  <c r="O12" i="1"/>
  <c r="L12" i="1"/>
  <c r="I12" i="1"/>
  <c r="F12" i="1"/>
  <c r="E12" i="1"/>
  <c r="C12" i="1"/>
  <c r="O11" i="1"/>
  <c r="L11" i="1"/>
  <c r="I11" i="1"/>
  <c r="F11" i="1"/>
  <c r="E11" i="1"/>
  <c r="C11" i="1"/>
  <c r="L10" i="1"/>
  <c r="M10" i="1" s="1"/>
  <c r="I10" i="1"/>
  <c r="G10" i="1"/>
  <c r="H10" i="1" s="1"/>
  <c r="F10" i="1"/>
  <c r="K10" i="1" s="1"/>
  <c r="E10" i="1"/>
  <c r="C10" i="1"/>
  <c r="M9" i="1"/>
  <c r="I9" i="1"/>
  <c r="K9" i="1" s="1"/>
  <c r="G9" i="1"/>
  <c r="H9" i="1" s="1"/>
  <c r="E9" i="1"/>
  <c r="F9" i="1" s="1"/>
  <c r="C9" i="1"/>
  <c r="I8" i="1"/>
  <c r="F8" i="1"/>
  <c r="G8" i="1" s="1"/>
  <c r="H8" i="1" s="1"/>
  <c r="E8" i="1"/>
  <c r="C8" i="1"/>
  <c r="I7" i="1"/>
  <c r="E7" i="1"/>
  <c r="F7" i="1" s="1"/>
  <c r="G7" i="1" s="1"/>
  <c r="H7" i="1" s="1"/>
  <c r="C7" i="1"/>
  <c r="I6" i="1"/>
  <c r="F6" i="1"/>
  <c r="G6" i="1" s="1"/>
  <c r="H6" i="1" s="1"/>
  <c r="E6" i="1"/>
  <c r="C6" i="1"/>
  <c r="I5" i="1"/>
  <c r="K5" i="1" s="1"/>
  <c r="H5" i="1"/>
  <c r="G5" i="1"/>
  <c r="E5" i="1"/>
  <c r="F5" i="1" s="1"/>
  <c r="C5" i="1"/>
  <c r="H4" i="1"/>
  <c r="F4" i="1"/>
  <c r="G4" i="1" s="1"/>
  <c r="E4" i="1"/>
  <c r="C4" i="1"/>
  <c r="G3" i="1"/>
  <c r="H3" i="1" s="1"/>
  <c r="F3" i="1"/>
  <c r="E3" i="1"/>
  <c r="G21" i="5" l="1"/>
  <c r="G45" i="5"/>
  <c r="G85" i="5"/>
  <c r="G97" i="5"/>
  <c r="G113" i="5"/>
  <c r="G133" i="5"/>
  <c r="G25" i="5"/>
  <c r="G33" i="5"/>
  <c r="G49" i="5"/>
  <c r="G65" i="5"/>
  <c r="G77" i="5"/>
  <c r="G89" i="5"/>
  <c r="G100" i="5"/>
  <c r="G61" i="5"/>
  <c r="G125" i="5"/>
  <c r="G28" i="5"/>
  <c r="G37" i="5"/>
  <c r="G53" i="5"/>
  <c r="G63" i="5"/>
  <c r="G69" i="5"/>
  <c r="G81" i="5"/>
  <c r="G83" i="5"/>
  <c r="G92" i="5"/>
  <c r="G95" i="5"/>
  <c r="G107" i="5"/>
  <c r="G111" i="5"/>
  <c r="G119" i="5"/>
  <c r="G131" i="5"/>
  <c r="G136" i="5"/>
  <c r="G139" i="5"/>
  <c r="G143" i="5"/>
  <c r="G167" i="5"/>
  <c r="G172" i="5"/>
  <c r="G52" i="5"/>
  <c r="G80" i="5"/>
  <c r="G88" i="5"/>
  <c r="G96" i="5"/>
  <c r="G128" i="5"/>
  <c r="G140" i="5"/>
  <c r="G152" i="5"/>
  <c r="G160" i="5"/>
  <c r="G168" i="5"/>
  <c r="G176" i="5"/>
  <c r="G24" i="5"/>
  <c r="G56" i="5"/>
  <c r="G108" i="5"/>
  <c r="G144" i="5"/>
  <c r="G148" i="5"/>
  <c r="G164" i="5"/>
  <c r="G60" i="5"/>
  <c r="G104" i="5"/>
  <c r="G112" i="5"/>
  <c r="G120" i="5"/>
  <c r="G20" i="5"/>
  <c r="G36" i="5"/>
  <c r="G32" i="5"/>
  <c r="G40" i="5"/>
  <c r="G44" i="5"/>
  <c r="G68" i="5"/>
  <c r="G76" i="5"/>
  <c r="G123" i="5"/>
  <c r="G72" i="5"/>
  <c r="B2" i="3"/>
  <c r="S24" i="1"/>
  <c r="T24" i="1" s="1"/>
  <c r="M24" i="1"/>
  <c r="W24" i="1"/>
  <c r="Y24" i="1" s="1"/>
  <c r="P24" i="1"/>
  <c r="G24" i="1"/>
  <c r="H24" i="1" s="1"/>
  <c r="K24" i="1"/>
  <c r="S40" i="1"/>
  <c r="T40" i="1" s="1"/>
  <c r="M40" i="1"/>
  <c r="W40" i="1"/>
  <c r="Y40" i="1" s="1"/>
  <c r="P40" i="1"/>
  <c r="G40" i="1"/>
  <c r="H40" i="1" s="1"/>
  <c r="K40" i="1"/>
  <c r="M12" i="1"/>
  <c r="G12" i="1"/>
  <c r="H12" i="1" s="1"/>
  <c r="G19" i="1"/>
  <c r="H19" i="1" s="1"/>
  <c r="W19" i="1"/>
  <c r="Y19" i="1" s="1"/>
  <c r="M19" i="1"/>
  <c r="W41" i="1"/>
  <c r="Y41" i="1" s="1"/>
  <c r="G41" i="1"/>
  <c r="H41" i="1" s="1"/>
  <c r="S41" i="1"/>
  <c r="T41" i="1" s="1"/>
  <c r="M41" i="1"/>
  <c r="P50" i="1"/>
  <c r="W50" i="1"/>
  <c r="Y50" i="1" s="1"/>
  <c r="M50" i="1"/>
  <c r="G50" i="1"/>
  <c r="H50" i="1" s="1"/>
  <c r="M11" i="1"/>
  <c r="P11" i="1"/>
  <c r="P12" i="1"/>
  <c r="P18" i="1"/>
  <c r="P19" i="1"/>
  <c r="W21" i="1"/>
  <c r="Y21" i="1" s="1"/>
  <c r="G21" i="1"/>
  <c r="H21" i="1" s="1"/>
  <c r="P21" i="1"/>
  <c r="M21" i="1"/>
  <c r="G26" i="1"/>
  <c r="H26" i="1" s="1"/>
  <c r="S28" i="1"/>
  <c r="T28" i="1" s="1"/>
  <c r="M28" i="1"/>
  <c r="W28" i="1"/>
  <c r="Y28" i="1" s="1"/>
  <c r="S31" i="1"/>
  <c r="T31" i="1" s="1"/>
  <c r="M31" i="1"/>
  <c r="G31" i="1"/>
  <c r="H31" i="1" s="1"/>
  <c r="W31" i="1"/>
  <c r="Y31" i="1" s="1"/>
  <c r="W33" i="1"/>
  <c r="Y33" i="1" s="1"/>
  <c r="G33" i="1"/>
  <c r="H33" i="1" s="1"/>
  <c r="S33" i="1"/>
  <c r="T33" i="1" s="1"/>
  <c r="M33" i="1"/>
  <c r="G36" i="1"/>
  <c r="H36" i="1" s="1"/>
  <c r="P39" i="1"/>
  <c r="P41" i="1"/>
  <c r="S48" i="1"/>
  <c r="T48" i="1" s="1"/>
  <c r="M48" i="1"/>
  <c r="W48" i="1"/>
  <c r="Y48" i="1" s="1"/>
  <c r="G48" i="1"/>
  <c r="H48" i="1" s="1"/>
  <c r="K50" i="1"/>
  <c r="S50" i="1"/>
  <c r="T50" i="1" s="1"/>
  <c r="S52" i="1"/>
  <c r="T52" i="1" s="1"/>
  <c r="M52" i="1"/>
  <c r="W52" i="1"/>
  <c r="Y52" i="1" s="1"/>
  <c r="G52" i="1"/>
  <c r="H52" i="1" s="1"/>
  <c r="S56" i="1"/>
  <c r="T56" i="1" s="1"/>
  <c r="M56" i="1"/>
  <c r="W56" i="1"/>
  <c r="Y56" i="1" s="1"/>
  <c r="G56" i="1"/>
  <c r="H56" i="1" s="1"/>
  <c r="P56" i="1"/>
  <c r="S59" i="1"/>
  <c r="T59" i="1" s="1"/>
  <c r="M59" i="1"/>
  <c r="K59" i="1"/>
  <c r="P59" i="1"/>
  <c r="S64" i="1"/>
  <c r="T64" i="1" s="1"/>
  <c r="M64" i="1"/>
  <c r="W64" i="1"/>
  <c r="Y64" i="1" s="1"/>
  <c r="G64" i="1"/>
  <c r="H64" i="1" s="1"/>
  <c r="P64" i="1"/>
  <c r="S67" i="1"/>
  <c r="T67" i="1" s="1"/>
  <c r="M67" i="1"/>
  <c r="K67" i="1"/>
  <c r="P67" i="1"/>
  <c r="S72" i="1"/>
  <c r="T72" i="1" s="1"/>
  <c r="M72" i="1"/>
  <c r="W72" i="1"/>
  <c r="Y72" i="1" s="1"/>
  <c r="G72" i="1"/>
  <c r="H72" i="1" s="1"/>
  <c r="P72" i="1"/>
  <c r="S75" i="1"/>
  <c r="T75" i="1" s="1"/>
  <c r="M75" i="1"/>
  <c r="K75" i="1"/>
  <c r="P75" i="1"/>
  <c r="S80" i="1"/>
  <c r="T80" i="1" s="1"/>
  <c r="M80" i="1"/>
  <c r="W80" i="1"/>
  <c r="Y80" i="1" s="1"/>
  <c r="G80" i="1"/>
  <c r="H80" i="1" s="1"/>
  <c r="P80" i="1"/>
  <c r="S83" i="1"/>
  <c r="T83" i="1" s="1"/>
  <c r="M83" i="1"/>
  <c r="K83" i="1"/>
  <c r="P83" i="1"/>
  <c r="S91" i="1"/>
  <c r="T91" i="1" s="1"/>
  <c r="M91" i="1"/>
  <c r="K91" i="1"/>
  <c r="P91" i="1"/>
  <c r="W91" i="1"/>
  <c r="Y91" i="1" s="1"/>
  <c r="G91" i="1"/>
  <c r="H91" i="1" s="1"/>
  <c r="S92" i="1"/>
  <c r="T92" i="1" s="1"/>
  <c r="M92" i="1"/>
  <c r="W92" i="1"/>
  <c r="Y92" i="1" s="1"/>
  <c r="G92" i="1"/>
  <c r="H92" i="1" s="1"/>
  <c r="P92" i="1"/>
  <c r="S99" i="1"/>
  <c r="T99" i="1" s="1"/>
  <c r="M99" i="1"/>
  <c r="K99" i="1"/>
  <c r="P99" i="1"/>
  <c r="W99" i="1"/>
  <c r="Y99" i="1" s="1"/>
  <c r="G99" i="1"/>
  <c r="H99" i="1" s="1"/>
  <c r="S100" i="1"/>
  <c r="T100" i="1" s="1"/>
  <c r="M100" i="1"/>
  <c r="W100" i="1"/>
  <c r="Y100" i="1" s="1"/>
  <c r="G100" i="1"/>
  <c r="H100" i="1" s="1"/>
  <c r="P100" i="1"/>
  <c r="S107" i="1"/>
  <c r="T107" i="1" s="1"/>
  <c r="M107" i="1"/>
  <c r="K107" i="1"/>
  <c r="P107" i="1"/>
  <c r="W107" i="1"/>
  <c r="Y107" i="1" s="1"/>
  <c r="G107" i="1"/>
  <c r="H107" i="1" s="1"/>
  <c r="S108" i="1"/>
  <c r="T108" i="1" s="1"/>
  <c r="M108" i="1"/>
  <c r="W108" i="1"/>
  <c r="Y108" i="1" s="1"/>
  <c r="G108" i="1"/>
  <c r="H108" i="1" s="1"/>
  <c r="P108" i="1"/>
  <c r="S115" i="1"/>
  <c r="T115" i="1" s="1"/>
  <c r="M115" i="1"/>
  <c r="K115" i="1"/>
  <c r="P115" i="1"/>
  <c r="W115" i="1"/>
  <c r="Y115" i="1" s="1"/>
  <c r="G115" i="1"/>
  <c r="H115" i="1" s="1"/>
  <c r="S116" i="1"/>
  <c r="T116" i="1" s="1"/>
  <c r="M116" i="1"/>
  <c r="W116" i="1"/>
  <c r="Y116" i="1" s="1"/>
  <c r="G116" i="1"/>
  <c r="H116" i="1" s="1"/>
  <c r="P116" i="1"/>
  <c r="W134" i="1"/>
  <c r="Y134" i="1" s="1"/>
  <c r="G134" i="1"/>
  <c r="H134" i="1" s="1"/>
  <c r="S134" i="1"/>
  <c r="T134" i="1" s="1"/>
  <c r="M134" i="1"/>
  <c r="K134" i="1"/>
  <c r="P134" i="1"/>
  <c r="S165" i="1"/>
  <c r="T165" i="1" s="1"/>
  <c r="M165" i="1"/>
  <c r="W165" i="1"/>
  <c r="Y165" i="1" s="1"/>
  <c r="P165" i="1"/>
  <c r="G165" i="1"/>
  <c r="H165" i="1" s="1"/>
  <c r="P171" i="1"/>
  <c r="M171" i="1"/>
  <c r="G171" i="1"/>
  <c r="H171" i="1" s="1"/>
  <c r="W171" i="1"/>
  <c r="Y171" i="1" s="1"/>
  <c r="S171" i="1"/>
  <c r="T171" i="1" s="1"/>
  <c r="W174" i="1"/>
  <c r="Y174" i="1" s="1"/>
  <c r="G174" i="1"/>
  <c r="H174" i="1" s="1"/>
  <c r="S174" i="1"/>
  <c r="T174" i="1" s="1"/>
  <c r="M174" i="1"/>
  <c r="P174" i="1"/>
  <c r="S27" i="2"/>
  <c r="T27" i="2" s="1"/>
  <c r="M27" i="2"/>
  <c r="G27" i="2"/>
  <c r="K27" i="2"/>
  <c r="P27" i="2"/>
  <c r="W29" i="2"/>
  <c r="Y29" i="2" s="1"/>
  <c r="S29" i="2"/>
  <c r="T29" i="2" s="1"/>
  <c r="M29" i="2"/>
  <c r="G29" i="2"/>
  <c r="P29" i="2"/>
  <c r="S36" i="2"/>
  <c r="T36" i="2" s="1"/>
  <c r="M36" i="2"/>
  <c r="G36" i="2"/>
  <c r="K36" i="2"/>
  <c r="W36" i="2"/>
  <c r="Y36" i="2" s="1"/>
  <c r="P36" i="2"/>
  <c r="S44" i="2"/>
  <c r="T44" i="2" s="1"/>
  <c r="M44" i="2"/>
  <c r="G44" i="2"/>
  <c r="K44" i="2"/>
  <c r="P44" i="2"/>
  <c r="W44" i="2"/>
  <c r="Y44" i="2" s="1"/>
  <c r="P55" i="2"/>
  <c r="W55" i="2"/>
  <c r="Y55" i="2" s="1"/>
  <c r="G55" i="2"/>
  <c r="M55" i="2"/>
  <c r="K79" i="2"/>
  <c r="K6" i="1"/>
  <c r="K7" i="1"/>
  <c r="G11" i="1"/>
  <c r="H11" i="1" s="1"/>
  <c r="K12" i="1"/>
  <c r="K14" i="1"/>
  <c r="G17" i="1"/>
  <c r="H17" i="1" s="1"/>
  <c r="P17" i="1"/>
  <c r="M17" i="1"/>
  <c r="S23" i="1"/>
  <c r="T23" i="1" s="1"/>
  <c r="M23" i="1"/>
  <c r="G23" i="1"/>
  <c r="H23" i="1" s="1"/>
  <c r="W23" i="1"/>
  <c r="Y23" i="1" s="1"/>
  <c r="W25" i="1"/>
  <c r="Y25" i="1" s="1"/>
  <c r="G25" i="1"/>
  <c r="H25" i="1" s="1"/>
  <c r="S25" i="1"/>
  <c r="T25" i="1" s="1"/>
  <c r="M25" i="1"/>
  <c r="G28" i="1"/>
  <c r="H28" i="1" s="1"/>
  <c r="P28" i="1"/>
  <c r="K29" i="1"/>
  <c r="P31" i="1"/>
  <c r="P33" i="1"/>
  <c r="K36" i="1"/>
  <c r="P42" i="1"/>
  <c r="W42" i="1"/>
  <c r="Y42" i="1" s="1"/>
  <c r="M42" i="1"/>
  <c r="W45" i="1"/>
  <c r="Y45" i="1" s="1"/>
  <c r="G45" i="1"/>
  <c r="H45" i="1" s="1"/>
  <c r="P45" i="1"/>
  <c r="M45" i="1"/>
  <c r="P48" i="1"/>
  <c r="W49" i="1"/>
  <c r="Y49" i="1" s="1"/>
  <c r="G49" i="1"/>
  <c r="H49" i="1" s="1"/>
  <c r="P49" i="1"/>
  <c r="P52" i="1"/>
  <c r="W53" i="1"/>
  <c r="Y53" i="1" s="1"/>
  <c r="G53" i="1"/>
  <c r="H53" i="1" s="1"/>
  <c r="P53" i="1"/>
  <c r="M53" i="1"/>
  <c r="K56" i="1"/>
  <c r="G59" i="1"/>
  <c r="H59" i="1" s="1"/>
  <c r="K64" i="1"/>
  <c r="G67" i="1"/>
  <c r="H67" i="1" s="1"/>
  <c r="K72" i="1"/>
  <c r="G75" i="1"/>
  <c r="H75" i="1" s="1"/>
  <c r="K80" i="1"/>
  <c r="G83" i="1"/>
  <c r="H83" i="1" s="1"/>
  <c r="K92" i="1"/>
  <c r="K100" i="1"/>
  <c r="K108" i="1"/>
  <c r="K116" i="1"/>
  <c r="W122" i="1"/>
  <c r="Y122" i="1" s="1"/>
  <c r="G122" i="1"/>
  <c r="H122" i="1" s="1"/>
  <c r="P122" i="1"/>
  <c r="S122" i="1"/>
  <c r="T122" i="1" s="1"/>
  <c r="W142" i="1"/>
  <c r="Y142" i="1" s="1"/>
  <c r="G142" i="1"/>
  <c r="H142" i="1" s="1"/>
  <c r="S142" i="1"/>
  <c r="T142" i="1" s="1"/>
  <c r="M142" i="1"/>
  <c r="K142" i="1"/>
  <c r="P142" i="1"/>
  <c r="P147" i="1"/>
  <c r="G147" i="1"/>
  <c r="H147" i="1" s="1"/>
  <c r="M147" i="1"/>
  <c r="W147" i="1"/>
  <c r="Y147" i="1" s="1"/>
  <c r="S147" i="1"/>
  <c r="T147" i="1" s="1"/>
  <c r="W150" i="1"/>
  <c r="Y150" i="1" s="1"/>
  <c r="G150" i="1"/>
  <c r="H150" i="1" s="1"/>
  <c r="S150" i="1"/>
  <c r="T150" i="1" s="1"/>
  <c r="M150" i="1"/>
  <c r="P150" i="1"/>
  <c r="S173" i="1"/>
  <c r="T173" i="1" s="1"/>
  <c r="M173" i="1"/>
  <c r="W173" i="1"/>
  <c r="Y173" i="1" s="1"/>
  <c r="P173" i="1"/>
  <c r="G173" i="1"/>
  <c r="H173" i="1" s="1"/>
  <c r="S28" i="2"/>
  <c r="T28" i="2" s="1"/>
  <c r="M28" i="2"/>
  <c r="G28" i="2"/>
  <c r="K28" i="2"/>
  <c r="W28" i="2"/>
  <c r="Y28" i="2" s="1"/>
  <c r="P28" i="2"/>
  <c r="P34" i="2"/>
  <c r="G34" i="2"/>
  <c r="M34" i="2"/>
  <c r="W34" i="2"/>
  <c r="Y34" i="2" s="1"/>
  <c r="S34" i="2"/>
  <c r="T34" i="2" s="1"/>
  <c r="P42" i="2"/>
  <c r="G42" i="2"/>
  <c r="M42" i="2"/>
  <c r="W42" i="2"/>
  <c r="Y42" i="2" s="1"/>
  <c r="S42" i="2"/>
  <c r="T42" i="2" s="1"/>
  <c r="W46" i="2"/>
  <c r="Y46" i="2" s="1"/>
  <c r="S46" i="2"/>
  <c r="T46" i="2" s="1"/>
  <c r="M46" i="2"/>
  <c r="G46" i="2"/>
  <c r="P46" i="2"/>
  <c r="W54" i="2"/>
  <c r="Y54" i="2" s="1"/>
  <c r="S54" i="2"/>
  <c r="T54" i="2" s="1"/>
  <c r="M54" i="2"/>
  <c r="G54" i="2"/>
  <c r="K54" i="2"/>
  <c r="P54" i="2"/>
  <c r="S55" i="2"/>
  <c r="T55" i="2" s="1"/>
  <c r="S106" i="2"/>
  <c r="T106" i="2" s="1"/>
  <c r="M106" i="2"/>
  <c r="G106" i="2"/>
  <c r="W106" i="2"/>
  <c r="Y106" i="2" s="1"/>
  <c r="P106" i="2"/>
  <c r="P108" i="2"/>
  <c r="W108" i="2"/>
  <c r="Y108" i="2" s="1"/>
  <c r="G108" i="2"/>
  <c r="M108" i="2"/>
  <c r="S108" i="2"/>
  <c r="T108" i="2" s="1"/>
  <c r="S141" i="2"/>
  <c r="T141" i="2" s="1"/>
  <c r="M141" i="2"/>
  <c r="G141" i="2"/>
  <c r="P141" i="2"/>
  <c r="W141" i="2"/>
  <c r="Y141" i="2" s="1"/>
  <c r="K141" i="2"/>
  <c r="S142" i="2"/>
  <c r="T142" i="2" s="1"/>
  <c r="M142" i="2"/>
  <c r="G142" i="2"/>
  <c r="W142" i="2"/>
  <c r="Y142" i="2" s="1"/>
  <c r="P142" i="2"/>
  <c r="K8" i="1"/>
  <c r="K11" i="1"/>
  <c r="M15" i="1"/>
  <c r="G15" i="1"/>
  <c r="H15" i="1" s="1"/>
  <c r="K21" i="1"/>
  <c r="P23" i="1"/>
  <c r="P25" i="1"/>
  <c r="K28" i="1"/>
  <c r="K31" i="1"/>
  <c r="P34" i="1"/>
  <c r="W34" i="1"/>
  <c r="Y34" i="1" s="1"/>
  <c r="M34" i="1"/>
  <c r="W37" i="1"/>
  <c r="Y37" i="1" s="1"/>
  <c r="G37" i="1"/>
  <c r="H37" i="1" s="1"/>
  <c r="P37" i="1"/>
  <c r="M37" i="1"/>
  <c r="G42" i="1"/>
  <c r="H42" i="1" s="1"/>
  <c r="S44" i="1"/>
  <c r="T44" i="1" s="1"/>
  <c r="M44" i="1"/>
  <c r="W44" i="1"/>
  <c r="Y44" i="1" s="1"/>
  <c r="S47" i="1"/>
  <c r="T47" i="1" s="1"/>
  <c r="M47" i="1"/>
  <c r="G47" i="1"/>
  <c r="H47" i="1" s="1"/>
  <c r="W47" i="1"/>
  <c r="Y47" i="1" s="1"/>
  <c r="S55" i="1"/>
  <c r="T55" i="1" s="1"/>
  <c r="M55" i="1"/>
  <c r="K55" i="1"/>
  <c r="P55" i="1"/>
  <c r="S60" i="1"/>
  <c r="T60" i="1" s="1"/>
  <c r="M60" i="1"/>
  <c r="W60" i="1"/>
  <c r="Y60" i="1" s="1"/>
  <c r="G60" i="1"/>
  <c r="H60" i="1" s="1"/>
  <c r="P60" i="1"/>
  <c r="S63" i="1"/>
  <c r="T63" i="1" s="1"/>
  <c r="M63" i="1"/>
  <c r="K63" i="1"/>
  <c r="P63" i="1"/>
  <c r="S68" i="1"/>
  <c r="T68" i="1" s="1"/>
  <c r="M68" i="1"/>
  <c r="W68" i="1"/>
  <c r="Y68" i="1" s="1"/>
  <c r="G68" i="1"/>
  <c r="H68" i="1" s="1"/>
  <c r="P68" i="1"/>
  <c r="S71" i="1"/>
  <c r="T71" i="1" s="1"/>
  <c r="M71" i="1"/>
  <c r="K71" i="1"/>
  <c r="P71" i="1"/>
  <c r="S76" i="1"/>
  <c r="T76" i="1" s="1"/>
  <c r="M76" i="1"/>
  <c r="W76" i="1"/>
  <c r="Y76" i="1" s="1"/>
  <c r="G76" i="1"/>
  <c r="H76" i="1" s="1"/>
  <c r="P76" i="1"/>
  <c r="S79" i="1"/>
  <c r="T79" i="1" s="1"/>
  <c r="M79" i="1"/>
  <c r="K79" i="1"/>
  <c r="P79" i="1"/>
  <c r="S84" i="1"/>
  <c r="T84" i="1" s="1"/>
  <c r="M84" i="1"/>
  <c r="W84" i="1"/>
  <c r="Y84" i="1" s="1"/>
  <c r="G84" i="1"/>
  <c r="H84" i="1" s="1"/>
  <c r="P84" i="1"/>
  <c r="S87" i="1"/>
  <c r="T87" i="1" s="1"/>
  <c r="M87" i="1"/>
  <c r="K87" i="1"/>
  <c r="W87" i="1"/>
  <c r="Y87" i="1" s="1"/>
  <c r="P87" i="1"/>
  <c r="G87" i="1"/>
  <c r="H87" i="1" s="1"/>
  <c r="S88" i="1"/>
  <c r="T88" i="1" s="1"/>
  <c r="M88" i="1"/>
  <c r="W88" i="1"/>
  <c r="Y88" i="1" s="1"/>
  <c r="G88" i="1"/>
  <c r="H88" i="1" s="1"/>
  <c r="P88" i="1"/>
  <c r="S95" i="1"/>
  <c r="T95" i="1" s="1"/>
  <c r="M95" i="1"/>
  <c r="K95" i="1"/>
  <c r="P95" i="1"/>
  <c r="W95" i="1"/>
  <c r="Y95" i="1" s="1"/>
  <c r="G95" i="1"/>
  <c r="H95" i="1" s="1"/>
  <c r="S96" i="1"/>
  <c r="T96" i="1" s="1"/>
  <c r="M96" i="1"/>
  <c r="W96" i="1"/>
  <c r="Y96" i="1" s="1"/>
  <c r="G96" i="1"/>
  <c r="H96" i="1" s="1"/>
  <c r="P96" i="1"/>
  <c r="S103" i="1"/>
  <c r="T103" i="1" s="1"/>
  <c r="M103" i="1"/>
  <c r="K103" i="1"/>
  <c r="P103" i="1"/>
  <c r="W103" i="1"/>
  <c r="Y103" i="1" s="1"/>
  <c r="G103" i="1"/>
  <c r="H103" i="1" s="1"/>
  <c r="S104" i="1"/>
  <c r="T104" i="1" s="1"/>
  <c r="M104" i="1"/>
  <c r="W104" i="1"/>
  <c r="Y104" i="1" s="1"/>
  <c r="G104" i="1"/>
  <c r="H104" i="1" s="1"/>
  <c r="P104" i="1"/>
  <c r="S111" i="1"/>
  <c r="T111" i="1" s="1"/>
  <c r="M111" i="1"/>
  <c r="K111" i="1"/>
  <c r="G111" i="1"/>
  <c r="H111" i="1" s="1"/>
  <c r="P111" i="1"/>
  <c r="W111" i="1"/>
  <c r="Y111" i="1" s="1"/>
  <c r="S112" i="1"/>
  <c r="T112" i="1" s="1"/>
  <c r="M112" i="1"/>
  <c r="W112" i="1"/>
  <c r="Y112" i="1" s="1"/>
  <c r="G112" i="1"/>
  <c r="H112" i="1" s="1"/>
  <c r="P112" i="1"/>
  <c r="S119" i="1"/>
  <c r="T119" i="1" s="1"/>
  <c r="M119" i="1"/>
  <c r="K119" i="1"/>
  <c r="G119" i="1"/>
  <c r="H119" i="1" s="1"/>
  <c r="P119" i="1"/>
  <c r="W119" i="1"/>
  <c r="Y119" i="1" s="1"/>
  <c r="S120" i="1"/>
  <c r="T120" i="1" s="1"/>
  <c r="M120" i="1"/>
  <c r="W120" i="1"/>
  <c r="Y120" i="1" s="1"/>
  <c r="G120" i="1"/>
  <c r="H120" i="1" s="1"/>
  <c r="P120" i="1"/>
  <c r="W130" i="1"/>
  <c r="Y130" i="1" s="1"/>
  <c r="G130" i="1"/>
  <c r="H130" i="1" s="1"/>
  <c r="P130" i="1"/>
  <c r="S130" i="1"/>
  <c r="T130" i="1" s="1"/>
  <c r="S149" i="1"/>
  <c r="T149" i="1" s="1"/>
  <c r="M149" i="1"/>
  <c r="W149" i="1"/>
  <c r="Y149" i="1" s="1"/>
  <c r="P149" i="1"/>
  <c r="G149" i="1"/>
  <c r="H149" i="1" s="1"/>
  <c r="P155" i="1"/>
  <c r="M155" i="1"/>
  <c r="G155" i="1"/>
  <c r="H155" i="1" s="1"/>
  <c r="W155" i="1"/>
  <c r="Y155" i="1" s="1"/>
  <c r="S155" i="1"/>
  <c r="T155" i="1" s="1"/>
  <c r="W158" i="1"/>
  <c r="Y158" i="1" s="1"/>
  <c r="G158" i="1"/>
  <c r="H158" i="1" s="1"/>
  <c r="S158" i="1"/>
  <c r="T158" i="1" s="1"/>
  <c r="M158" i="1"/>
  <c r="P158" i="1"/>
  <c r="K174" i="1"/>
  <c r="S177" i="1"/>
  <c r="T177" i="1" s="1"/>
  <c r="M177" i="1"/>
  <c r="G177" i="1"/>
  <c r="H177" i="1" s="1"/>
  <c r="P177" i="1"/>
  <c r="P38" i="2"/>
  <c r="S38" i="2"/>
  <c r="T38" i="2" s="1"/>
  <c r="W38" i="2"/>
  <c r="Y38" i="2" s="1"/>
  <c r="G38" i="2"/>
  <c r="M38" i="2"/>
  <c r="P26" i="2"/>
  <c r="G26" i="2"/>
  <c r="M26" i="2"/>
  <c r="W26" i="2"/>
  <c r="Y26" i="2" s="1"/>
  <c r="S26" i="2"/>
  <c r="T26" i="2" s="1"/>
  <c r="W27" i="2"/>
  <c r="Y27" i="2" s="1"/>
  <c r="K29" i="2"/>
  <c r="S57" i="2"/>
  <c r="T57" i="2" s="1"/>
  <c r="M57" i="2"/>
  <c r="G57" i="2"/>
  <c r="W57" i="2"/>
  <c r="Y57" i="2" s="1"/>
  <c r="W50" i="2"/>
  <c r="Y50" i="2" s="1"/>
  <c r="P50" i="2"/>
  <c r="G50" i="2"/>
  <c r="M50" i="2"/>
  <c r="S50" i="2"/>
  <c r="T50" i="2" s="1"/>
  <c r="P57" i="2"/>
  <c r="G14" i="1"/>
  <c r="H14" i="1" s="1"/>
  <c r="P14" i="1"/>
  <c r="W18" i="1"/>
  <c r="Y18" i="1" s="1"/>
  <c r="M18" i="1"/>
  <c r="G18" i="1"/>
  <c r="H18" i="1" s="1"/>
  <c r="P26" i="1"/>
  <c r="W26" i="1"/>
  <c r="Y26" i="1" s="1"/>
  <c r="W29" i="1"/>
  <c r="Y29" i="1" s="1"/>
  <c r="G29" i="1"/>
  <c r="H29" i="1" s="1"/>
  <c r="P29" i="1"/>
  <c r="M29" i="1"/>
  <c r="S32" i="1"/>
  <c r="T32" i="1" s="1"/>
  <c r="M32" i="1"/>
  <c r="W32" i="1"/>
  <c r="Y32" i="1" s="1"/>
  <c r="P32" i="1"/>
  <c r="G32" i="1"/>
  <c r="H32" i="1" s="1"/>
  <c r="S36" i="1"/>
  <c r="T36" i="1" s="1"/>
  <c r="M36" i="1"/>
  <c r="W36" i="1"/>
  <c r="Y36" i="1" s="1"/>
  <c r="S39" i="1"/>
  <c r="T39" i="1" s="1"/>
  <c r="M39" i="1"/>
  <c r="G39" i="1"/>
  <c r="H39" i="1" s="1"/>
  <c r="W39" i="1"/>
  <c r="Y39" i="1" s="1"/>
  <c r="W126" i="1"/>
  <c r="Y126" i="1" s="1"/>
  <c r="G126" i="1"/>
  <c r="H126" i="1" s="1"/>
  <c r="S126" i="1"/>
  <c r="T126" i="1" s="1"/>
  <c r="M126" i="1"/>
  <c r="K126" i="1"/>
  <c r="P126" i="1"/>
  <c r="W138" i="1"/>
  <c r="Y138" i="1" s="1"/>
  <c r="G138" i="1"/>
  <c r="H138" i="1" s="1"/>
  <c r="P138" i="1"/>
  <c r="S138" i="1"/>
  <c r="T138" i="1" s="1"/>
  <c r="S157" i="1"/>
  <c r="T157" i="1" s="1"/>
  <c r="M157" i="1"/>
  <c r="W157" i="1"/>
  <c r="Y157" i="1" s="1"/>
  <c r="P157" i="1"/>
  <c r="G157" i="1"/>
  <c r="H157" i="1" s="1"/>
  <c r="P163" i="1"/>
  <c r="M163" i="1"/>
  <c r="G163" i="1"/>
  <c r="H163" i="1" s="1"/>
  <c r="W163" i="1"/>
  <c r="Y163" i="1" s="1"/>
  <c r="S163" i="1"/>
  <c r="T163" i="1" s="1"/>
  <c r="W166" i="1"/>
  <c r="Y166" i="1" s="1"/>
  <c r="G166" i="1"/>
  <c r="H166" i="1" s="1"/>
  <c r="S166" i="1"/>
  <c r="T166" i="1" s="1"/>
  <c r="M166" i="1"/>
  <c r="P166" i="1"/>
  <c r="S35" i="2"/>
  <c r="T35" i="2" s="1"/>
  <c r="M35" i="2"/>
  <c r="G35" i="2"/>
  <c r="K35" i="2"/>
  <c r="P35" i="2"/>
  <c r="W37" i="2"/>
  <c r="Y37" i="2" s="1"/>
  <c r="S37" i="2"/>
  <c r="T37" i="2" s="1"/>
  <c r="M37" i="2"/>
  <c r="G37" i="2"/>
  <c r="P37" i="2"/>
  <c r="S43" i="2"/>
  <c r="T43" i="2" s="1"/>
  <c r="M43" i="2"/>
  <c r="G43" i="2"/>
  <c r="P43" i="2"/>
  <c r="K43" i="2"/>
  <c r="S45" i="2"/>
  <c r="T45" i="2" s="1"/>
  <c r="M45" i="2"/>
  <c r="G45" i="2"/>
  <c r="W45" i="2"/>
  <c r="Y45" i="2" s="1"/>
  <c r="P45" i="2"/>
  <c r="K57" i="2"/>
  <c r="S61" i="2"/>
  <c r="T61" i="2" s="1"/>
  <c r="M61" i="2"/>
  <c r="G61" i="2"/>
  <c r="W61" i="2"/>
  <c r="Y61" i="2" s="1"/>
  <c r="P61" i="2"/>
  <c r="K61" i="2"/>
  <c r="P124" i="2"/>
  <c r="W124" i="2"/>
  <c r="Y124" i="2" s="1"/>
  <c r="G124" i="2"/>
  <c r="M124" i="2"/>
  <c r="S124" i="2"/>
  <c r="T124" i="2" s="1"/>
  <c r="W146" i="1"/>
  <c r="Y146" i="1" s="1"/>
  <c r="G146" i="1"/>
  <c r="H146" i="1" s="1"/>
  <c r="P146" i="1"/>
  <c r="M146" i="1"/>
  <c r="W154" i="1"/>
  <c r="Y154" i="1" s="1"/>
  <c r="G154" i="1"/>
  <c r="H154" i="1" s="1"/>
  <c r="P154" i="1"/>
  <c r="M154" i="1"/>
  <c r="K155" i="1"/>
  <c r="W162" i="1"/>
  <c r="Y162" i="1" s="1"/>
  <c r="G162" i="1"/>
  <c r="H162" i="1" s="1"/>
  <c r="P162" i="1"/>
  <c r="M162" i="1"/>
  <c r="K163" i="1"/>
  <c r="W170" i="1"/>
  <c r="Y170" i="1" s="1"/>
  <c r="G170" i="1"/>
  <c r="H170" i="1" s="1"/>
  <c r="P170" i="1"/>
  <c r="M170" i="1"/>
  <c r="W23" i="2"/>
  <c r="Y23" i="2" s="1"/>
  <c r="P23" i="2"/>
  <c r="K23" i="2"/>
  <c r="W39" i="2"/>
  <c r="Y39" i="2" s="1"/>
  <c r="P39" i="2"/>
  <c r="K39" i="2"/>
  <c r="P22" i="2"/>
  <c r="S22" i="2"/>
  <c r="T22" i="2" s="1"/>
  <c r="W22" i="2"/>
  <c r="Y22" i="2" s="1"/>
  <c r="M22" i="2"/>
  <c r="G23" i="2"/>
  <c r="K26" i="2"/>
  <c r="P30" i="2"/>
  <c r="S30" i="2"/>
  <c r="T30" i="2" s="1"/>
  <c r="W30" i="2"/>
  <c r="Y30" i="2" s="1"/>
  <c r="M30" i="2"/>
  <c r="K34" i="2"/>
  <c r="G39" i="2"/>
  <c r="K42" i="2"/>
  <c r="K46" i="2"/>
  <c r="S72" i="2"/>
  <c r="T72" i="2" s="1"/>
  <c r="M72" i="2"/>
  <c r="G72" i="2"/>
  <c r="K72" i="2"/>
  <c r="W72" i="2"/>
  <c r="Y72" i="2" s="1"/>
  <c r="P72" i="2"/>
  <c r="K106" i="2"/>
  <c r="P112" i="2"/>
  <c r="W112" i="2"/>
  <c r="Y112" i="2" s="1"/>
  <c r="G112" i="2"/>
  <c r="M112" i="2"/>
  <c r="S133" i="2"/>
  <c r="T133" i="2" s="1"/>
  <c r="M133" i="2"/>
  <c r="G133" i="2"/>
  <c r="K133" i="2"/>
  <c r="W133" i="2"/>
  <c r="Y133" i="2" s="1"/>
  <c r="S134" i="2"/>
  <c r="T134" i="2" s="1"/>
  <c r="M134" i="2"/>
  <c r="G134" i="2"/>
  <c r="W134" i="2"/>
  <c r="Y134" i="2" s="1"/>
  <c r="P134" i="2"/>
  <c r="P22" i="1"/>
  <c r="S22" i="1"/>
  <c r="T22" i="1" s="1"/>
  <c r="P30" i="1"/>
  <c r="S30" i="1"/>
  <c r="T30" i="1" s="1"/>
  <c r="P38" i="1"/>
  <c r="S38" i="1"/>
  <c r="T38" i="1" s="1"/>
  <c r="P46" i="1"/>
  <c r="S46" i="1"/>
  <c r="T46" i="1" s="1"/>
  <c r="S54" i="1"/>
  <c r="T54" i="1" s="1"/>
  <c r="W57" i="1"/>
  <c r="Y57" i="1" s="1"/>
  <c r="G57" i="1"/>
  <c r="H57" i="1" s="1"/>
  <c r="P57" i="1"/>
  <c r="M57" i="1"/>
  <c r="S58" i="1"/>
  <c r="T58" i="1" s="1"/>
  <c r="W61" i="1"/>
  <c r="Y61" i="1" s="1"/>
  <c r="G61" i="1"/>
  <c r="H61" i="1" s="1"/>
  <c r="P61" i="1"/>
  <c r="M61" i="1"/>
  <c r="S62" i="1"/>
  <c r="T62" i="1" s="1"/>
  <c r="W65" i="1"/>
  <c r="Y65" i="1" s="1"/>
  <c r="G65" i="1"/>
  <c r="H65" i="1" s="1"/>
  <c r="P65" i="1"/>
  <c r="M65" i="1"/>
  <c r="S66" i="1"/>
  <c r="T66" i="1" s="1"/>
  <c r="W69" i="1"/>
  <c r="Y69" i="1" s="1"/>
  <c r="G69" i="1"/>
  <c r="H69" i="1" s="1"/>
  <c r="P69" i="1"/>
  <c r="M69" i="1"/>
  <c r="S70" i="1"/>
  <c r="T70" i="1" s="1"/>
  <c r="W73" i="1"/>
  <c r="Y73" i="1" s="1"/>
  <c r="G73" i="1"/>
  <c r="H73" i="1" s="1"/>
  <c r="P73" i="1"/>
  <c r="M73" i="1"/>
  <c r="S74" i="1"/>
  <c r="T74" i="1" s="1"/>
  <c r="W77" i="1"/>
  <c r="Y77" i="1" s="1"/>
  <c r="G77" i="1"/>
  <c r="H77" i="1" s="1"/>
  <c r="P77" i="1"/>
  <c r="M77" i="1"/>
  <c r="S78" i="1"/>
  <c r="T78" i="1" s="1"/>
  <c r="W81" i="1"/>
  <c r="Y81" i="1" s="1"/>
  <c r="G81" i="1"/>
  <c r="H81" i="1" s="1"/>
  <c r="P81" i="1"/>
  <c r="M81" i="1"/>
  <c r="S82" i="1"/>
  <c r="T82" i="1" s="1"/>
  <c r="W85" i="1"/>
  <c r="Y85" i="1" s="1"/>
  <c r="G85" i="1"/>
  <c r="H85" i="1" s="1"/>
  <c r="P85" i="1"/>
  <c r="M85" i="1"/>
  <c r="S86" i="1"/>
  <c r="T86" i="1" s="1"/>
  <c r="W89" i="1"/>
  <c r="Y89" i="1" s="1"/>
  <c r="G89" i="1"/>
  <c r="H89" i="1" s="1"/>
  <c r="P89" i="1"/>
  <c r="M89" i="1"/>
  <c r="S90" i="1"/>
  <c r="T90" i="1" s="1"/>
  <c r="W93" i="1"/>
  <c r="Y93" i="1" s="1"/>
  <c r="G93" i="1"/>
  <c r="H93" i="1" s="1"/>
  <c r="P93" i="1"/>
  <c r="M93" i="1"/>
  <c r="S94" i="1"/>
  <c r="T94" i="1" s="1"/>
  <c r="W97" i="1"/>
  <c r="Y97" i="1" s="1"/>
  <c r="G97" i="1"/>
  <c r="H97" i="1" s="1"/>
  <c r="P97" i="1"/>
  <c r="M97" i="1"/>
  <c r="S98" i="1"/>
  <c r="T98" i="1" s="1"/>
  <c r="W101" i="1"/>
  <c r="Y101" i="1" s="1"/>
  <c r="G101" i="1"/>
  <c r="H101" i="1" s="1"/>
  <c r="P101" i="1"/>
  <c r="M101" i="1"/>
  <c r="S102" i="1"/>
  <c r="T102" i="1" s="1"/>
  <c r="W105" i="1"/>
  <c r="Y105" i="1" s="1"/>
  <c r="G105" i="1"/>
  <c r="H105" i="1" s="1"/>
  <c r="P105" i="1"/>
  <c r="M105" i="1"/>
  <c r="S106" i="1"/>
  <c r="T106" i="1" s="1"/>
  <c r="W109" i="1"/>
  <c r="Y109" i="1" s="1"/>
  <c r="G109" i="1"/>
  <c r="H109" i="1" s="1"/>
  <c r="P109" i="1"/>
  <c r="M109" i="1"/>
  <c r="S110" i="1"/>
  <c r="T110" i="1" s="1"/>
  <c r="W113" i="1"/>
  <c r="Y113" i="1" s="1"/>
  <c r="G113" i="1"/>
  <c r="H113" i="1" s="1"/>
  <c r="P113" i="1"/>
  <c r="M113" i="1"/>
  <c r="S114" i="1"/>
  <c r="T114" i="1" s="1"/>
  <c r="W117" i="1"/>
  <c r="Y117" i="1" s="1"/>
  <c r="G117" i="1"/>
  <c r="H117" i="1" s="1"/>
  <c r="P117" i="1"/>
  <c r="M117" i="1"/>
  <c r="S118" i="1"/>
  <c r="T118" i="1" s="1"/>
  <c r="S121" i="1"/>
  <c r="T121" i="1" s="1"/>
  <c r="M121" i="1"/>
  <c r="G121" i="1"/>
  <c r="H121" i="1" s="1"/>
  <c r="W121" i="1"/>
  <c r="Y121" i="1" s="1"/>
  <c r="K122" i="1"/>
  <c r="S124" i="1"/>
  <c r="T124" i="1" s="1"/>
  <c r="M124" i="1"/>
  <c r="S129" i="1"/>
  <c r="T129" i="1" s="1"/>
  <c r="M129" i="1"/>
  <c r="G129" i="1"/>
  <c r="H129" i="1" s="1"/>
  <c r="W129" i="1"/>
  <c r="Y129" i="1" s="1"/>
  <c r="K130" i="1"/>
  <c r="S132" i="1"/>
  <c r="T132" i="1" s="1"/>
  <c r="M132" i="1"/>
  <c r="S137" i="1"/>
  <c r="T137" i="1" s="1"/>
  <c r="M137" i="1"/>
  <c r="G137" i="1"/>
  <c r="H137" i="1" s="1"/>
  <c r="W137" i="1"/>
  <c r="Y137" i="1" s="1"/>
  <c r="K138" i="1"/>
  <c r="S140" i="1"/>
  <c r="T140" i="1" s="1"/>
  <c r="M140" i="1"/>
  <c r="K149" i="1"/>
  <c r="K157" i="1"/>
  <c r="K165" i="1"/>
  <c r="K173" i="1"/>
  <c r="W178" i="1"/>
  <c r="Y178" i="1" s="1"/>
  <c r="G178" i="1"/>
  <c r="H178" i="1" s="1"/>
  <c r="P178" i="1"/>
  <c r="M178" i="1"/>
  <c r="K179" i="1"/>
  <c r="G22" i="2"/>
  <c r="S24" i="2"/>
  <c r="T24" i="2" s="1"/>
  <c r="M24" i="2"/>
  <c r="G24" i="2"/>
  <c r="W24" i="2"/>
  <c r="Y24" i="2" s="1"/>
  <c r="G30" i="2"/>
  <c r="F32" i="2"/>
  <c r="F40" i="2"/>
  <c r="P47" i="2"/>
  <c r="W47" i="2"/>
  <c r="Y47" i="2" s="1"/>
  <c r="S47" i="2"/>
  <c r="T47" i="2" s="1"/>
  <c r="M47" i="2"/>
  <c r="F51" i="2"/>
  <c r="S56" i="2"/>
  <c r="T56" i="2" s="1"/>
  <c r="S86" i="2"/>
  <c r="T86" i="2" s="1"/>
  <c r="M86" i="2"/>
  <c r="G86" i="2"/>
  <c r="W86" i="2"/>
  <c r="Y86" i="2" s="1"/>
  <c r="P86" i="2"/>
  <c r="P75" i="2"/>
  <c r="W75" i="2"/>
  <c r="Y75" i="2" s="1"/>
  <c r="G75" i="2"/>
  <c r="M75" i="2"/>
  <c r="S77" i="2"/>
  <c r="T77" i="2" s="1"/>
  <c r="M77" i="2"/>
  <c r="G77" i="2"/>
  <c r="W77" i="2"/>
  <c r="Y77" i="2" s="1"/>
  <c r="P77" i="2"/>
  <c r="F78" i="2"/>
  <c r="F82" i="2"/>
  <c r="W89" i="2"/>
  <c r="Y89" i="2" s="1"/>
  <c r="P89" i="2"/>
  <c r="K89" i="2"/>
  <c r="S89" i="2"/>
  <c r="T89" i="2" s="1"/>
  <c r="G89" i="2"/>
  <c r="S125" i="2"/>
  <c r="T125" i="2" s="1"/>
  <c r="M125" i="2"/>
  <c r="G125" i="2"/>
  <c r="K125" i="2"/>
  <c r="W125" i="2"/>
  <c r="Y125" i="2" s="1"/>
  <c r="P125" i="2"/>
  <c r="K112" i="2"/>
  <c r="S112" i="2"/>
  <c r="T112" i="2" s="1"/>
  <c r="K147" i="1"/>
  <c r="K171" i="1"/>
  <c r="P179" i="1"/>
  <c r="M179" i="1"/>
  <c r="G179" i="1"/>
  <c r="H179" i="1" s="1"/>
  <c r="W31" i="2"/>
  <c r="Y31" i="2" s="1"/>
  <c r="P31" i="2"/>
  <c r="K31" i="2"/>
  <c r="S68" i="2"/>
  <c r="T68" i="2" s="1"/>
  <c r="M68" i="2"/>
  <c r="G68" i="2"/>
  <c r="K68" i="2"/>
  <c r="S73" i="2"/>
  <c r="T73" i="2" s="1"/>
  <c r="M73" i="2"/>
  <c r="G73" i="2"/>
  <c r="W73" i="2"/>
  <c r="Y73" i="2" s="1"/>
  <c r="K73" i="2"/>
  <c r="P73" i="2"/>
  <c r="S137" i="2"/>
  <c r="T137" i="2" s="1"/>
  <c r="M137" i="2"/>
  <c r="G137" i="2"/>
  <c r="K137" i="2"/>
  <c r="P137" i="2"/>
  <c r="W137" i="2"/>
  <c r="Y137" i="2" s="1"/>
  <c r="P13" i="1"/>
  <c r="K16" i="1"/>
  <c r="K20" i="1"/>
  <c r="G22" i="1"/>
  <c r="H22" i="1" s="1"/>
  <c r="M22" i="1"/>
  <c r="K26" i="1"/>
  <c r="K27" i="1"/>
  <c r="P27" i="1"/>
  <c r="G30" i="1"/>
  <c r="H30" i="1" s="1"/>
  <c r="M30" i="1"/>
  <c r="K34" i="1"/>
  <c r="K35" i="1"/>
  <c r="P35" i="1"/>
  <c r="G38" i="1"/>
  <c r="H38" i="1" s="1"/>
  <c r="M38" i="1"/>
  <c r="K42" i="1"/>
  <c r="K43" i="1"/>
  <c r="P43" i="1"/>
  <c r="G46" i="1"/>
  <c r="H46" i="1" s="1"/>
  <c r="M46" i="1"/>
  <c r="K49" i="1"/>
  <c r="S51" i="1"/>
  <c r="T51" i="1" s="1"/>
  <c r="M51" i="1"/>
  <c r="G54" i="1"/>
  <c r="H54" i="1" s="1"/>
  <c r="M54" i="1"/>
  <c r="G58" i="1"/>
  <c r="H58" i="1" s="1"/>
  <c r="M58" i="1"/>
  <c r="G62" i="1"/>
  <c r="H62" i="1" s="1"/>
  <c r="M62" i="1"/>
  <c r="G66" i="1"/>
  <c r="H66" i="1" s="1"/>
  <c r="M66" i="1"/>
  <c r="G70" i="1"/>
  <c r="H70" i="1" s="1"/>
  <c r="M70" i="1"/>
  <c r="G74" i="1"/>
  <c r="H74" i="1" s="1"/>
  <c r="M74" i="1"/>
  <c r="G78" i="1"/>
  <c r="H78" i="1" s="1"/>
  <c r="M78" i="1"/>
  <c r="G82" i="1"/>
  <c r="H82" i="1" s="1"/>
  <c r="M82" i="1"/>
  <c r="G86" i="1"/>
  <c r="H86" i="1" s="1"/>
  <c r="M86" i="1"/>
  <c r="G90" i="1"/>
  <c r="H90" i="1" s="1"/>
  <c r="M90" i="1"/>
  <c r="G94" i="1"/>
  <c r="H94" i="1" s="1"/>
  <c r="M94" i="1"/>
  <c r="G98" i="1"/>
  <c r="H98" i="1" s="1"/>
  <c r="M98" i="1"/>
  <c r="G102" i="1"/>
  <c r="H102" i="1" s="1"/>
  <c r="M102" i="1"/>
  <c r="G106" i="1"/>
  <c r="H106" i="1" s="1"/>
  <c r="M106" i="1"/>
  <c r="G110" i="1"/>
  <c r="H110" i="1" s="1"/>
  <c r="M110" i="1"/>
  <c r="G114" i="1"/>
  <c r="H114" i="1" s="1"/>
  <c r="M114" i="1"/>
  <c r="G118" i="1"/>
  <c r="H118" i="1" s="1"/>
  <c r="M118" i="1"/>
  <c r="P121" i="1"/>
  <c r="P123" i="1"/>
  <c r="M123" i="1"/>
  <c r="G123" i="1"/>
  <c r="H123" i="1" s="1"/>
  <c r="G124" i="1"/>
  <c r="H124" i="1" s="1"/>
  <c r="W124" i="1"/>
  <c r="Y124" i="1" s="1"/>
  <c r="S125" i="1"/>
  <c r="T125" i="1" s="1"/>
  <c r="M125" i="1"/>
  <c r="W125" i="1"/>
  <c r="Y125" i="1" s="1"/>
  <c r="P125" i="1"/>
  <c r="P129" i="1"/>
  <c r="P131" i="1"/>
  <c r="M131" i="1"/>
  <c r="G131" i="1"/>
  <c r="H131" i="1" s="1"/>
  <c r="G132" i="1"/>
  <c r="H132" i="1" s="1"/>
  <c r="W132" i="1"/>
  <c r="Y132" i="1" s="1"/>
  <c r="S133" i="1"/>
  <c r="T133" i="1" s="1"/>
  <c r="M133" i="1"/>
  <c r="W133" i="1"/>
  <c r="Y133" i="1" s="1"/>
  <c r="P133" i="1"/>
  <c r="P137" i="1"/>
  <c r="P139" i="1"/>
  <c r="M139" i="1"/>
  <c r="G139" i="1"/>
  <c r="H139" i="1" s="1"/>
  <c r="G140" i="1"/>
  <c r="H140" i="1" s="1"/>
  <c r="W140" i="1"/>
  <c r="Y140" i="1" s="1"/>
  <c r="S141" i="1"/>
  <c r="T141" i="1" s="1"/>
  <c r="M141" i="1"/>
  <c r="W141" i="1"/>
  <c r="Y141" i="1" s="1"/>
  <c r="P141" i="1"/>
  <c r="S145" i="1"/>
  <c r="T145" i="1" s="1"/>
  <c r="M145" i="1"/>
  <c r="G145" i="1"/>
  <c r="H145" i="1" s="1"/>
  <c r="W145" i="1"/>
  <c r="Y145" i="1" s="1"/>
  <c r="K146" i="1"/>
  <c r="S148" i="1"/>
  <c r="T148" i="1" s="1"/>
  <c r="M148" i="1"/>
  <c r="S153" i="1"/>
  <c r="T153" i="1" s="1"/>
  <c r="M153" i="1"/>
  <c r="G153" i="1"/>
  <c r="H153" i="1" s="1"/>
  <c r="W153" i="1"/>
  <c r="Y153" i="1" s="1"/>
  <c r="K154" i="1"/>
  <c r="S156" i="1"/>
  <c r="T156" i="1" s="1"/>
  <c r="M156" i="1"/>
  <c r="S161" i="1"/>
  <c r="T161" i="1" s="1"/>
  <c r="M161" i="1"/>
  <c r="G161" i="1"/>
  <c r="H161" i="1" s="1"/>
  <c r="W161" i="1"/>
  <c r="Y161" i="1" s="1"/>
  <c r="K162" i="1"/>
  <c r="S164" i="1"/>
  <c r="T164" i="1" s="1"/>
  <c r="M164" i="1"/>
  <c r="S169" i="1"/>
  <c r="T169" i="1" s="1"/>
  <c r="M169" i="1"/>
  <c r="G169" i="1"/>
  <c r="H169" i="1" s="1"/>
  <c r="W169" i="1"/>
  <c r="Y169" i="1" s="1"/>
  <c r="K170" i="1"/>
  <c r="S172" i="1"/>
  <c r="T172" i="1" s="1"/>
  <c r="M172" i="1"/>
  <c r="S23" i="2"/>
  <c r="T23" i="2" s="1"/>
  <c r="S31" i="2"/>
  <c r="T31" i="2" s="1"/>
  <c r="S39" i="2"/>
  <c r="T39" i="2" s="1"/>
  <c r="K41" i="2"/>
  <c r="S49" i="2"/>
  <c r="T49" i="2" s="1"/>
  <c r="M49" i="2"/>
  <c r="G49" i="2"/>
  <c r="P49" i="2"/>
  <c r="W49" i="2"/>
  <c r="Y49" i="2" s="1"/>
  <c r="S52" i="2"/>
  <c r="T52" i="2" s="1"/>
  <c r="M52" i="2"/>
  <c r="G52" i="2"/>
  <c r="P52" i="2"/>
  <c r="W52" i="2"/>
  <c r="Y52" i="2" s="1"/>
  <c r="S76" i="2"/>
  <c r="T76" i="2" s="1"/>
  <c r="M76" i="2"/>
  <c r="G76" i="2"/>
  <c r="K76" i="2"/>
  <c r="P76" i="2"/>
  <c r="W76" i="2"/>
  <c r="Y76" i="2" s="1"/>
  <c r="S60" i="2"/>
  <c r="T60" i="2" s="1"/>
  <c r="M60" i="2"/>
  <c r="G60" i="2"/>
  <c r="K60" i="2"/>
  <c r="P60" i="2"/>
  <c r="F62" i="2"/>
  <c r="K62" i="2" s="1"/>
  <c r="W66" i="2"/>
  <c r="Y66" i="2" s="1"/>
  <c r="P66" i="2"/>
  <c r="G66" i="2"/>
  <c r="M66" i="2"/>
  <c r="S66" i="2"/>
  <c r="T66" i="2" s="1"/>
  <c r="F71" i="2"/>
  <c r="S94" i="2"/>
  <c r="T94" i="2" s="1"/>
  <c r="M94" i="2"/>
  <c r="G94" i="2"/>
  <c r="W94" i="2"/>
  <c r="Y94" i="2" s="1"/>
  <c r="P94" i="2"/>
  <c r="P84" i="2"/>
  <c r="G84" i="2"/>
  <c r="M84" i="2"/>
  <c r="W84" i="2"/>
  <c r="Y84" i="2" s="1"/>
  <c r="P96" i="2"/>
  <c r="S96" i="2"/>
  <c r="T96" i="2" s="1"/>
  <c r="W96" i="2"/>
  <c r="Y96" i="2" s="1"/>
  <c r="M96" i="2"/>
  <c r="S117" i="2"/>
  <c r="T117" i="2" s="1"/>
  <c r="M117" i="2"/>
  <c r="G117" i="2"/>
  <c r="K117" i="2"/>
  <c r="P117" i="2"/>
  <c r="W117" i="2"/>
  <c r="Y117" i="2" s="1"/>
  <c r="S101" i="2"/>
  <c r="T101" i="2" s="1"/>
  <c r="M101" i="2"/>
  <c r="G101" i="2"/>
  <c r="P101" i="2"/>
  <c r="W101" i="2"/>
  <c r="Y101" i="2" s="1"/>
  <c r="K101" i="2"/>
  <c r="S102" i="2"/>
  <c r="T102" i="2" s="1"/>
  <c r="M102" i="2"/>
  <c r="G102" i="2"/>
  <c r="W102" i="2"/>
  <c r="Y102" i="2" s="1"/>
  <c r="P102" i="2"/>
  <c r="W119" i="2"/>
  <c r="Y119" i="2" s="1"/>
  <c r="P119" i="2"/>
  <c r="G119" i="2"/>
  <c r="M119" i="2"/>
  <c r="S119" i="2"/>
  <c r="T119" i="2" s="1"/>
  <c r="S151" i="2"/>
  <c r="T151" i="2" s="1"/>
  <c r="M151" i="2"/>
  <c r="G151" i="2"/>
  <c r="W151" i="2"/>
  <c r="Y151" i="2" s="1"/>
  <c r="P151" i="2"/>
  <c r="S159" i="2"/>
  <c r="T159" i="2" s="1"/>
  <c r="M159" i="2"/>
  <c r="G159" i="2"/>
  <c r="W159" i="2"/>
  <c r="Y159" i="2" s="1"/>
  <c r="P159" i="2"/>
  <c r="P161" i="2"/>
  <c r="M161" i="2"/>
  <c r="S161" i="2"/>
  <c r="T161" i="2" s="1"/>
  <c r="G161" i="2"/>
  <c r="W161" i="2"/>
  <c r="Y161" i="2" s="1"/>
  <c r="S171" i="2"/>
  <c r="T171" i="2" s="1"/>
  <c r="M171" i="2"/>
  <c r="G171" i="2"/>
  <c r="W171" i="2"/>
  <c r="Y171" i="2" s="1"/>
  <c r="P171" i="2"/>
  <c r="K171" i="2"/>
  <c r="P128" i="1"/>
  <c r="W152" i="1"/>
  <c r="Y152" i="1" s="1"/>
  <c r="P160" i="1"/>
  <c r="K168" i="1"/>
  <c r="P168" i="1"/>
  <c r="W168" i="1"/>
  <c r="Y168" i="1" s="1"/>
  <c r="K22" i="2"/>
  <c r="P25" i="2"/>
  <c r="K30" i="2"/>
  <c r="P33" i="2"/>
  <c r="K38" i="2"/>
  <c r="W48" i="2"/>
  <c r="Y48" i="2" s="1"/>
  <c r="P48" i="2"/>
  <c r="K48" i="2"/>
  <c r="M48" i="2"/>
  <c r="K58" i="2"/>
  <c r="F59" i="2"/>
  <c r="K59" i="2" s="1"/>
  <c r="S64" i="2"/>
  <c r="T64" i="2" s="1"/>
  <c r="M64" i="2"/>
  <c r="G64" i="2"/>
  <c r="K64" i="2"/>
  <c r="P64" i="2"/>
  <c r="P67" i="2"/>
  <c r="W67" i="2"/>
  <c r="Y67" i="2" s="1"/>
  <c r="G67" i="2"/>
  <c r="M67" i="2"/>
  <c r="S69" i="2"/>
  <c r="T69" i="2" s="1"/>
  <c r="M69" i="2"/>
  <c r="G69" i="2"/>
  <c r="W69" i="2"/>
  <c r="Y69" i="2" s="1"/>
  <c r="K71" i="2"/>
  <c r="F74" i="2"/>
  <c r="S80" i="2"/>
  <c r="T80" i="2" s="1"/>
  <c r="M80" i="2"/>
  <c r="G80" i="2"/>
  <c r="K80" i="2"/>
  <c r="P80" i="2"/>
  <c r="F83" i="2"/>
  <c r="F87" i="2"/>
  <c r="F91" i="2"/>
  <c r="S93" i="2"/>
  <c r="T93" i="2" s="1"/>
  <c r="M93" i="2"/>
  <c r="G93" i="2"/>
  <c r="W93" i="2"/>
  <c r="Y93" i="2" s="1"/>
  <c r="K102" i="2"/>
  <c r="F103" i="2"/>
  <c r="S114" i="2"/>
  <c r="T114" i="2" s="1"/>
  <c r="M114" i="2"/>
  <c r="G114" i="2"/>
  <c r="W114" i="2"/>
  <c r="Y114" i="2" s="1"/>
  <c r="P114" i="2"/>
  <c r="W115" i="2"/>
  <c r="Y115" i="2" s="1"/>
  <c r="P115" i="2"/>
  <c r="G115" i="2"/>
  <c r="S115" i="2"/>
  <c r="T115" i="2" s="1"/>
  <c r="S121" i="2"/>
  <c r="T121" i="2" s="1"/>
  <c r="M121" i="2"/>
  <c r="G121" i="2"/>
  <c r="K121" i="2"/>
  <c r="P121" i="2"/>
  <c r="S126" i="2"/>
  <c r="T126" i="2" s="1"/>
  <c r="M126" i="2"/>
  <c r="G126" i="2"/>
  <c r="W126" i="2"/>
  <c r="Y126" i="2" s="1"/>
  <c r="P126" i="2"/>
  <c r="P173" i="2"/>
  <c r="W173" i="2"/>
  <c r="Y173" i="2" s="1"/>
  <c r="G173" i="2"/>
  <c r="S173" i="2"/>
  <c r="T173" i="2" s="1"/>
  <c r="M173" i="2"/>
  <c r="K128" i="1"/>
  <c r="W128" i="1"/>
  <c r="Y128" i="1" s="1"/>
  <c r="K136" i="1"/>
  <c r="P136" i="1"/>
  <c r="W136" i="1"/>
  <c r="Y136" i="1" s="1"/>
  <c r="K144" i="1"/>
  <c r="W144" i="1"/>
  <c r="Y144" i="1" s="1"/>
  <c r="K152" i="1"/>
  <c r="P152" i="1"/>
  <c r="K160" i="1"/>
  <c r="W160" i="1"/>
  <c r="Y160" i="1" s="1"/>
  <c r="K176" i="1"/>
  <c r="W176" i="1"/>
  <c r="Y176" i="1" s="1"/>
  <c r="P127" i="1"/>
  <c r="S127" i="1"/>
  <c r="T127" i="1" s="1"/>
  <c r="P135" i="1"/>
  <c r="S135" i="1"/>
  <c r="T135" i="1" s="1"/>
  <c r="P143" i="1"/>
  <c r="S143" i="1"/>
  <c r="T143" i="1" s="1"/>
  <c r="P151" i="1"/>
  <c r="S151" i="1"/>
  <c r="T151" i="1" s="1"/>
  <c r="P159" i="1"/>
  <c r="S159" i="1"/>
  <c r="T159" i="1" s="1"/>
  <c r="P167" i="1"/>
  <c r="S167" i="1"/>
  <c r="T167" i="1" s="1"/>
  <c r="P175" i="1"/>
  <c r="S175" i="1"/>
  <c r="T175" i="1" s="1"/>
  <c r="F41" i="2"/>
  <c r="K50" i="2"/>
  <c r="K51" i="2"/>
  <c r="W56" i="2"/>
  <c r="Y56" i="2" s="1"/>
  <c r="P56" i="2"/>
  <c r="K56" i="2"/>
  <c r="M56" i="2"/>
  <c r="P63" i="2"/>
  <c r="W63" i="2"/>
  <c r="Y63" i="2" s="1"/>
  <c r="G63" i="2"/>
  <c r="M63" i="2"/>
  <c r="S65" i="2"/>
  <c r="T65" i="2" s="1"/>
  <c r="M65" i="2"/>
  <c r="G65" i="2"/>
  <c r="W65" i="2"/>
  <c r="Y65" i="2" s="1"/>
  <c r="F70" i="2"/>
  <c r="F79" i="2"/>
  <c r="S81" i="2"/>
  <c r="T81" i="2" s="1"/>
  <c r="M81" i="2"/>
  <c r="G81" i="2"/>
  <c r="W81" i="2"/>
  <c r="Y81" i="2" s="1"/>
  <c r="P104" i="2"/>
  <c r="S104" i="2"/>
  <c r="T104" i="2" s="1"/>
  <c r="W104" i="2"/>
  <c r="Y104" i="2" s="1"/>
  <c r="M104" i="2"/>
  <c r="S85" i="2"/>
  <c r="T85" i="2" s="1"/>
  <c r="M85" i="2"/>
  <c r="G85" i="2"/>
  <c r="K85" i="2"/>
  <c r="P85" i="2"/>
  <c r="P88" i="2"/>
  <c r="S88" i="2"/>
  <c r="T88" i="2" s="1"/>
  <c r="W88" i="2"/>
  <c r="Y88" i="2" s="1"/>
  <c r="G88" i="2"/>
  <c r="K94" i="2"/>
  <c r="F95" i="2"/>
  <c r="F98" i="2"/>
  <c r="K98" i="2" s="1"/>
  <c r="S109" i="2"/>
  <c r="T109" i="2" s="1"/>
  <c r="M109" i="2"/>
  <c r="G109" i="2"/>
  <c r="K109" i="2"/>
  <c r="W109" i="2"/>
  <c r="Y109" i="2" s="1"/>
  <c r="P109" i="2"/>
  <c r="S110" i="2"/>
  <c r="T110" i="2" s="1"/>
  <c r="M110" i="2"/>
  <c r="G110" i="2"/>
  <c r="W110" i="2"/>
  <c r="Y110" i="2" s="1"/>
  <c r="P110" i="2"/>
  <c r="P140" i="2"/>
  <c r="K140" i="2"/>
  <c r="S140" i="2"/>
  <c r="T140" i="2" s="1"/>
  <c r="G140" i="2"/>
  <c r="W140" i="2"/>
  <c r="Y140" i="2" s="1"/>
  <c r="M140" i="2"/>
  <c r="P144" i="2"/>
  <c r="S144" i="2"/>
  <c r="T144" i="2" s="1"/>
  <c r="W144" i="2"/>
  <c r="Y144" i="2" s="1"/>
  <c r="M144" i="2"/>
  <c r="F128" i="2"/>
  <c r="K128" i="2" s="1"/>
  <c r="G144" i="2"/>
  <c r="S146" i="2"/>
  <c r="T146" i="2" s="1"/>
  <c r="M146" i="2"/>
  <c r="G146" i="2"/>
  <c r="P146" i="2"/>
  <c r="W146" i="2"/>
  <c r="Y146" i="2" s="1"/>
  <c r="K86" i="2"/>
  <c r="F90" i="2"/>
  <c r="K91" i="2"/>
  <c r="P100" i="2"/>
  <c r="G100" i="2"/>
  <c r="M100" i="2"/>
  <c r="W105" i="2"/>
  <c r="Y105" i="2" s="1"/>
  <c r="P105" i="2"/>
  <c r="K105" i="2"/>
  <c r="M105" i="2"/>
  <c r="W107" i="2"/>
  <c r="Y107" i="2" s="1"/>
  <c r="P107" i="2"/>
  <c r="M107" i="2"/>
  <c r="K108" i="2"/>
  <c r="W111" i="2"/>
  <c r="Y111" i="2" s="1"/>
  <c r="P111" i="2"/>
  <c r="G111" i="2"/>
  <c r="P136" i="2"/>
  <c r="K136" i="2"/>
  <c r="M136" i="2"/>
  <c r="S136" i="2"/>
  <c r="T136" i="2" s="1"/>
  <c r="G136" i="2"/>
  <c r="F120" i="2"/>
  <c r="S122" i="2"/>
  <c r="T122" i="2" s="1"/>
  <c r="M122" i="2"/>
  <c r="G122" i="2"/>
  <c r="W122" i="2"/>
  <c r="Y122" i="2" s="1"/>
  <c r="K124" i="2"/>
  <c r="F127" i="2"/>
  <c r="K134" i="2"/>
  <c r="K146" i="2"/>
  <c r="F147" i="2"/>
  <c r="P149" i="2"/>
  <c r="W149" i="2"/>
  <c r="Y149" i="2" s="1"/>
  <c r="G149" i="2"/>
  <c r="M149" i="2"/>
  <c r="S149" i="2"/>
  <c r="T149" i="2" s="1"/>
  <c r="K159" i="2"/>
  <c r="S175" i="2"/>
  <c r="T175" i="2" s="1"/>
  <c r="M175" i="2"/>
  <c r="G175" i="2"/>
  <c r="P175" i="2"/>
  <c r="W175" i="2"/>
  <c r="Y175" i="2" s="1"/>
  <c r="S178" i="2"/>
  <c r="T178" i="2" s="1"/>
  <c r="M178" i="2"/>
  <c r="G178" i="2"/>
  <c r="K178" i="2"/>
  <c r="P178" i="2"/>
  <c r="W178" i="2"/>
  <c r="Y178" i="2" s="1"/>
  <c r="K47" i="2"/>
  <c r="K55" i="2"/>
  <c r="K66" i="2"/>
  <c r="K70" i="2"/>
  <c r="K78" i="2"/>
  <c r="K82" i="2"/>
  <c r="K83" i="2"/>
  <c r="P92" i="2"/>
  <c r="G92" i="2"/>
  <c r="M92" i="2"/>
  <c r="W97" i="2"/>
  <c r="Y97" i="2" s="1"/>
  <c r="P97" i="2"/>
  <c r="K97" i="2"/>
  <c r="M97" i="2"/>
  <c r="F99" i="2"/>
  <c r="K100" i="2"/>
  <c r="S100" i="2"/>
  <c r="T100" i="2" s="1"/>
  <c r="G105" i="2"/>
  <c r="G107" i="2"/>
  <c r="P132" i="2"/>
  <c r="K132" i="2"/>
  <c r="W132" i="2"/>
  <c r="Y132" i="2" s="1"/>
  <c r="G132" i="2"/>
  <c r="M132" i="2"/>
  <c r="S132" i="2"/>
  <c r="T132" i="2" s="1"/>
  <c r="S113" i="2"/>
  <c r="T113" i="2" s="1"/>
  <c r="M113" i="2"/>
  <c r="G113" i="2"/>
  <c r="K113" i="2"/>
  <c r="P113" i="2"/>
  <c r="P116" i="2"/>
  <c r="W116" i="2"/>
  <c r="Y116" i="2" s="1"/>
  <c r="G116" i="2"/>
  <c r="M116" i="2"/>
  <c r="S118" i="2"/>
  <c r="T118" i="2" s="1"/>
  <c r="M118" i="2"/>
  <c r="G118" i="2"/>
  <c r="W118" i="2"/>
  <c r="Y118" i="2" s="1"/>
  <c r="K120" i="2"/>
  <c r="P122" i="2"/>
  <c r="W123" i="2"/>
  <c r="Y123" i="2" s="1"/>
  <c r="P123" i="2"/>
  <c r="G123" i="2"/>
  <c r="S129" i="2"/>
  <c r="T129" i="2" s="1"/>
  <c r="W129" i="2"/>
  <c r="Y129" i="2" s="1"/>
  <c r="M129" i="2"/>
  <c r="G129" i="2"/>
  <c r="K129" i="2"/>
  <c r="P129" i="2"/>
  <c r="S130" i="2"/>
  <c r="T130" i="2" s="1"/>
  <c r="M130" i="2"/>
  <c r="G130" i="2"/>
  <c r="W130" i="2"/>
  <c r="Y130" i="2" s="1"/>
  <c r="P130" i="2"/>
  <c r="K130" i="2"/>
  <c r="S154" i="2"/>
  <c r="T154" i="2" s="1"/>
  <c r="M154" i="2"/>
  <c r="G154" i="2"/>
  <c r="K154" i="2"/>
  <c r="W154" i="2"/>
  <c r="Y154" i="2" s="1"/>
  <c r="P154" i="2"/>
  <c r="F155" i="2"/>
  <c r="W158" i="2"/>
  <c r="Y158" i="2" s="1"/>
  <c r="P158" i="2"/>
  <c r="K158" i="2"/>
  <c r="S158" i="2"/>
  <c r="T158" i="2" s="1"/>
  <c r="G158" i="2"/>
  <c r="P165" i="2"/>
  <c r="W165" i="2"/>
  <c r="Y165" i="2" s="1"/>
  <c r="G165" i="2"/>
  <c r="S165" i="2"/>
  <c r="T165" i="2" s="1"/>
  <c r="K88" i="2"/>
  <c r="K96" i="2"/>
  <c r="K104" i="2"/>
  <c r="F131" i="2"/>
  <c r="F135" i="2"/>
  <c r="S138" i="2"/>
  <c r="T138" i="2" s="1"/>
  <c r="M138" i="2"/>
  <c r="G138" i="2"/>
  <c r="W138" i="2"/>
  <c r="Y138" i="2" s="1"/>
  <c r="P138" i="2"/>
  <c r="K142" i="2"/>
  <c r="S145" i="2"/>
  <c r="T145" i="2" s="1"/>
  <c r="M145" i="2"/>
  <c r="G145" i="2"/>
  <c r="P145" i="2"/>
  <c r="W145" i="2"/>
  <c r="Y145" i="2" s="1"/>
  <c r="W150" i="2"/>
  <c r="Y150" i="2" s="1"/>
  <c r="P150" i="2"/>
  <c r="K150" i="2"/>
  <c r="G150" i="2"/>
  <c r="W156" i="2"/>
  <c r="Y156" i="2" s="1"/>
  <c r="S156" i="2"/>
  <c r="T156" i="2" s="1"/>
  <c r="M156" i="2"/>
  <c r="G156" i="2"/>
  <c r="P156" i="2"/>
  <c r="P157" i="2"/>
  <c r="W157" i="2"/>
  <c r="Y157" i="2" s="1"/>
  <c r="G157" i="2"/>
  <c r="M157" i="2"/>
  <c r="K160" i="2"/>
  <c r="S167" i="2"/>
  <c r="T167" i="2" s="1"/>
  <c r="M167" i="2"/>
  <c r="G167" i="2"/>
  <c r="P167" i="2"/>
  <c r="W167" i="2"/>
  <c r="Y167" i="2" s="1"/>
  <c r="F168" i="2"/>
  <c r="W176" i="2"/>
  <c r="Y176" i="2" s="1"/>
  <c r="P176" i="2"/>
  <c r="S176" i="2"/>
  <c r="T176" i="2" s="1"/>
  <c r="M176" i="2"/>
  <c r="S179" i="2"/>
  <c r="T179" i="2" s="1"/>
  <c r="M179" i="2"/>
  <c r="G179" i="2"/>
  <c r="W179" i="2"/>
  <c r="Y179" i="2" s="1"/>
  <c r="P179" i="2"/>
  <c r="K179" i="2"/>
  <c r="K111" i="2"/>
  <c r="K115" i="2"/>
  <c r="K119" i="2"/>
  <c r="K123" i="2"/>
  <c r="K127" i="2"/>
  <c r="K138" i="2"/>
  <c r="K143" i="2"/>
  <c r="F148" i="2"/>
  <c r="K148" i="2" s="1"/>
  <c r="K156" i="2"/>
  <c r="S157" i="2"/>
  <c r="T157" i="2" s="1"/>
  <c r="S163" i="2"/>
  <c r="T163" i="2" s="1"/>
  <c r="M163" i="2"/>
  <c r="G163" i="2"/>
  <c r="W163" i="2"/>
  <c r="Y163" i="2" s="1"/>
  <c r="P163" i="2"/>
  <c r="K167" i="2"/>
  <c r="P169" i="2"/>
  <c r="M169" i="2"/>
  <c r="S169" i="2"/>
  <c r="T169" i="2" s="1"/>
  <c r="W169" i="2"/>
  <c r="Y169" i="2" s="1"/>
  <c r="G176" i="2"/>
  <c r="K131" i="2"/>
  <c r="F139" i="2"/>
  <c r="K144" i="2"/>
  <c r="K151" i="2"/>
  <c r="P153" i="2"/>
  <c r="M153" i="2"/>
  <c r="S153" i="2"/>
  <c r="T153" i="2" s="1"/>
  <c r="F160" i="2"/>
  <c r="K169" i="2"/>
  <c r="F170" i="2"/>
  <c r="W172" i="2"/>
  <c r="Y172" i="2" s="1"/>
  <c r="S172" i="2"/>
  <c r="T172" i="2" s="1"/>
  <c r="M172" i="2"/>
  <c r="G172" i="2"/>
  <c r="W174" i="2"/>
  <c r="Y174" i="2" s="1"/>
  <c r="P174" i="2"/>
  <c r="K174" i="2"/>
  <c r="M174" i="2"/>
  <c r="K176" i="2"/>
  <c r="K135" i="2"/>
  <c r="F143" i="2"/>
  <c r="F152" i="2"/>
  <c r="G153" i="2"/>
  <c r="K161" i="2"/>
  <c r="S162" i="2"/>
  <c r="T162" i="2" s="1"/>
  <c r="M162" i="2"/>
  <c r="G162" i="2"/>
  <c r="W162" i="2"/>
  <c r="Y162" i="2" s="1"/>
  <c r="F164" i="2"/>
  <c r="W166" i="2"/>
  <c r="Y166" i="2" s="1"/>
  <c r="P166" i="2"/>
  <c r="K166" i="2"/>
  <c r="M166" i="2"/>
  <c r="K168" i="2"/>
  <c r="P172" i="2"/>
  <c r="G174" i="2"/>
  <c r="K175" i="2"/>
  <c r="P177" i="2"/>
  <c r="M177" i="2"/>
  <c r="S177" i="2"/>
  <c r="T177" i="2" s="1"/>
  <c r="K149" i="2"/>
  <c r="K157" i="2"/>
  <c r="K165" i="2"/>
  <c r="K173" i="2"/>
  <c r="S155" i="2" l="1"/>
  <c r="T155" i="2" s="1"/>
  <c r="M155" i="2"/>
  <c r="G155" i="2"/>
  <c r="W155" i="2"/>
  <c r="Y155" i="2" s="1"/>
  <c r="P155" i="2"/>
  <c r="K155" i="2"/>
  <c r="W99" i="2"/>
  <c r="Y99" i="2" s="1"/>
  <c r="P99" i="2"/>
  <c r="M99" i="2"/>
  <c r="S99" i="2"/>
  <c r="T99" i="2" s="1"/>
  <c r="G99" i="2"/>
  <c r="W95" i="2"/>
  <c r="Y95" i="2" s="1"/>
  <c r="S95" i="2"/>
  <c r="T95" i="2" s="1"/>
  <c r="M95" i="2"/>
  <c r="G95" i="2"/>
  <c r="K95" i="2"/>
  <c r="P95" i="2"/>
  <c r="S40" i="2"/>
  <c r="T40" i="2" s="1"/>
  <c r="M40" i="2"/>
  <c r="G40" i="2"/>
  <c r="P40" i="2"/>
  <c r="W40" i="2"/>
  <c r="Y40" i="2" s="1"/>
  <c r="K40" i="2"/>
  <c r="S170" i="2"/>
  <c r="T170" i="2" s="1"/>
  <c r="M170" i="2"/>
  <c r="G170" i="2"/>
  <c r="P170" i="2"/>
  <c r="W170" i="2"/>
  <c r="Y170" i="2" s="1"/>
  <c r="K170" i="2"/>
  <c r="W139" i="2"/>
  <c r="Y139" i="2" s="1"/>
  <c r="P139" i="2"/>
  <c r="G139" i="2"/>
  <c r="M139" i="2"/>
  <c r="S139" i="2"/>
  <c r="T139" i="2" s="1"/>
  <c r="S53" i="2"/>
  <c r="T53" i="2" s="1"/>
  <c r="M53" i="2"/>
  <c r="G53" i="2"/>
  <c r="W53" i="2"/>
  <c r="Y53" i="2" s="1"/>
  <c r="P53" i="2"/>
  <c r="K53" i="2"/>
  <c r="W82" i="2"/>
  <c r="Y82" i="2" s="1"/>
  <c r="P82" i="2"/>
  <c r="G82" i="2"/>
  <c r="M82" i="2"/>
  <c r="S82" i="2"/>
  <c r="T82" i="2" s="1"/>
  <c r="S32" i="2"/>
  <c r="T32" i="2" s="1"/>
  <c r="M32" i="2"/>
  <c r="G32" i="2"/>
  <c r="P32" i="2"/>
  <c r="W32" i="2"/>
  <c r="Y32" i="2" s="1"/>
  <c r="K32" i="2"/>
  <c r="W164" i="2"/>
  <c r="Y164" i="2" s="1"/>
  <c r="S164" i="2"/>
  <c r="T164" i="2" s="1"/>
  <c r="M164" i="2"/>
  <c r="G164" i="2"/>
  <c r="P164" i="2"/>
  <c r="W143" i="2"/>
  <c r="Y143" i="2" s="1"/>
  <c r="P143" i="2"/>
  <c r="M143" i="2"/>
  <c r="S143" i="2"/>
  <c r="T143" i="2" s="1"/>
  <c r="G143" i="2"/>
  <c r="K139" i="2"/>
  <c r="W135" i="2"/>
  <c r="Y135" i="2" s="1"/>
  <c r="P135" i="2"/>
  <c r="G135" i="2"/>
  <c r="M135" i="2"/>
  <c r="S135" i="2"/>
  <c r="T135" i="2" s="1"/>
  <c r="W127" i="2"/>
  <c r="Y127" i="2" s="1"/>
  <c r="P127" i="2"/>
  <c r="G127" i="2"/>
  <c r="S127" i="2"/>
  <c r="T127" i="2" s="1"/>
  <c r="M127" i="2"/>
  <c r="W87" i="2"/>
  <c r="Y87" i="2" s="1"/>
  <c r="S87" i="2"/>
  <c r="T87" i="2" s="1"/>
  <c r="M87" i="2"/>
  <c r="G87" i="2"/>
  <c r="P87" i="2"/>
  <c r="K87" i="2"/>
  <c r="P71" i="2"/>
  <c r="W71" i="2"/>
  <c r="Y71" i="2" s="1"/>
  <c r="G71" i="2"/>
  <c r="M71" i="2"/>
  <c r="S71" i="2"/>
  <c r="T71" i="2" s="1"/>
  <c r="W78" i="2"/>
  <c r="Y78" i="2" s="1"/>
  <c r="P78" i="2"/>
  <c r="G78" i="2"/>
  <c r="S78" i="2"/>
  <c r="T78" i="2" s="1"/>
  <c r="M78" i="2"/>
  <c r="W148" i="2"/>
  <c r="Y148" i="2" s="1"/>
  <c r="S148" i="2"/>
  <c r="T148" i="2" s="1"/>
  <c r="M148" i="2"/>
  <c r="G148" i="2"/>
  <c r="P148" i="2"/>
  <c r="P120" i="2"/>
  <c r="W120" i="2"/>
  <c r="Y120" i="2" s="1"/>
  <c r="G120" i="2"/>
  <c r="M120" i="2"/>
  <c r="S120" i="2"/>
  <c r="T120" i="2" s="1"/>
  <c r="W70" i="2"/>
  <c r="Y70" i="2" s="1"/>
  <c r="P70" i="2"/>
  <c r="G70" i="2"/>
  <c r="M70" i="2"/>
  <c r="S70" i="2"/>
  <c r="T70" i="2" s="1"/>
  <c r="P59" i="2"/>
  <c r="M59" i="2"/>
  <c r="G59" i="2"/>
  <c r="W59" i="2"/>
  <c r="Y59" i="2" s="1"/>
  <c r="S59" i="2"/>
  <c r="T59" i="2" s="1"/>
  <c r="W62" i="2"/>
  <c r="Y62" i="2" s="1"/>
  <c r="P62" i="2"/>
  <c r="G62" i="2"/>
  <c r="S62" i="2"/>
  <c r="T62" i="2" s="1"/>
  <c r="M62" i="2"/>
  <c r="W152" i="2"/>
  <c r="Y152" i="2" s="1"/>
  <c r="P152" i="2"/>
  <c r="M152" i="2"/>
  <c r="S152" i="2"/>
  <c r="T152" i="2" s="1"/>
  <c r="G152" i="2"/>
  <c r="S90" i="2"/>
  <c r="T90" i="2" s="1"/>
  <c r="M90" i="2"/>
  <c r="G90" i="2"/>
  <c r="P90" i="2"/>
  <c r="W90" i="2"/>
  <c r="Y90" i="2" s="1"/>
  <c r="K90" i="2"/>
  <c r="P128" i="2"/>
  <c r="W128" i="2"/>
  <c r="Y128" i="2" s="1"/>
  <c r="G128" i="2"/>
  <c r="M128" i="2"/>
  <c r="S128" i="2"/>
  <c r="T128" i="2" s="1"/>
  <c r="W91" i="2"/>
  <c r="Y91" i="2" s="1"/>
  <c r="P91" i="2"/>
  <c r="S91" i="2"/>
  <c r="T91" i="2" s="1"/>
  <c r="G91" i="2"/>
  <c r="M91" i="2"/>
  <c r="W74" i="2"/>
  <c r="Y74" i="2" s="1"/>
  <c r="P74" i="2"/>
  <c r="G74" i="2"/>
  <c r="M74" i="2"/>
  <c r="S74" i="2"/>
  <c r="T74" i="2" s="1"/>
  <c r="W58" i="2"/>
  <c r="Y58" i="2" s="1"/>
  <c r="P58" i="2"/>
  <c r="G58" i="2"/>
  <c r="M58" i="2"/>
  <c r="S58" i="2"/>
  <c r="T58" i="2" s="1"/>
  <c r="W160" i="2"/>
  <c r="Y160" i="2" s="1"/>
  <c r="P160" i="2"/>
  <c r="G160" i="2"/>
  <c r="M160" i="2"/>
  <c r="S160" i="2"/>
  <c r="T160" i="2" s="1"/>
  <c r="W168" i="2"/>
  <c r="Y168" i="2" s="1"/>
  <c r="P168" i="2"/>
  <c r="G168" i="2"/>
  <c r="M168" i="2"/>
  <c r="S168" i="2"/>
  <c r="T168" i="2" s="1"/>
  <c r="W131" i="2"/>
  <c r="Y131" i="2" s="1"/>
  <c r="P131" i="2"/>
  <c r="S131" i="2"/>
  <c r="T131" i="2" s="1"/>
  <c r="G131" i="2"/>
  <c r="M131" i="2"/>
  <c r="K152" i="2"/>
  <c r="K74" i="2"/>
  <c r="S147" i="2"/>
  <c r="T147" i="2" s="1"/>
  <c r="M147" i="2"/>
  <c r="G147" i="2"/>
  <c r="W147" i="2"/>
  <c r="Y147" i="2" s="1"/>
  <c r="P147" i="2"/>
  <c r="K147" i="2"/>
  <c r="S98" i="2"/>
  <c r="T98" i="2" s="1"/>
  <c r="M98" i="2"/>
  <c r="G98" i="2"/>
  <c r="P98" i="2"/>
  <c r="W98" i="2"/>
  <c r="Y98" i="2" s="1"/>
  <c r="P79" i="2"/>
  <c r="W79" i="2"/>
  <c r="Y79" i="2" s="1"/>
  <c r="G79" i="2"/>
  <c r="M79" i="2"/>
  <c r="S79" i="2"/>
  <c r="T79" i="2" s="1"/>
  <c r="W41" i="2"/>
  <c r="Y41" i="2" s="1"/>
  <c r="P41" i="2"/>
  <c r="G41" i="2"/>
  <c r="M41" i="2"/>
  <c r="S41" i="2"/>
  <c r="T41" i="2" s="1"/>
  <c r="W103" i="2"/>
  <c r="Y103" i="2" s="1"/>
  <c r="S103" i="2"/>
  <c r="T103" i="2" s="1"/>
  <c r="M103" i="2"/>
  <c r="G103" i="2"/>
  <c r="K103" i="2"/>
  <c r="P103" i="2"/>
  <c r="W83" i="2"/>
  <c r="Y83" i="2" s="1"/>
  <c r="P83" i="2"/>
  <c r="G83" i="2"/>
  <c r="S83" i="2"/>
  <c r="T83" i="2" s="1"/>
  <c r="M83" i="2"/>
  <c r="K164" i="2"/>
  <c r="P51" i="2"/>
  <c r="M51" i="2"/>
  <c r="S51" i="2"/>
  <c r="T51" i="2" s="1"/>
  <c r="G51" i="2"/>
  <c r="W51" i="2"/>
  <c r="Y51" i="2" s="1"/>
  <c r="K99" i="2"/>
</calcChain>
</file>

<file path=xl/sharedStrings.xml><?xml version="1.0" encoding="utf-8"?>
<sst xmlns="http://schemas.openxmlformats.org/spreadsheetml/2006/main" count="58" uniqueCount="17">
  <si>
    <t>distance</t>
  </si>
  <si>
    <t>Elev_CEM1</t>
  </si>
  <si>
    <t>dif</t>
  </si>
  <si>
    <t>H</t>
  </si>
  <si>
    <t>% del cauce</t>
  </si>
  <si>
    <t>Q 85%</t>
  </si>
  <si>
    <t>Potencia KW</t>
  </si>
  <si>
    <t>Potencia Mw</t>
  </si>
  <si>
    <t>% CAUCE</t>
  </si>
  <si>
    <t>Potencia</t>
  </si>
  <si>
    <t>8km</t>
  </si>
  <si>
    <t>10 Km</t>
  </si>
  <si>
    <t>20 km</t>
  </si>
  <si>
    <t>POTENCIA</t>
  </si>
  <si>
    <t>GMA</t>
  </si>
  <si>
    <t>15km</t>
  </si>
  <si>
    <t>GW/H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</si>
</sst>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"/>
  </numFmts>
  <fonts count="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Protection="0"/>
  </cellStyleXfs>
  <cellXfs count="10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2" borderId="0" xfId="0" applyFill="1"/>
    <xf numFmtId="9" fontId="0" fillId="0" borderId="0" xfId="1" applyNumberFormat="1"/>
    <xf numFmtId="1" fontId="0" fillId="2" borderId="0" xfId="0" applyNumberFormat="1" applyFill="1"/>
    <xf numFmtId="0" fontId="0" fillId="0" borderId="0" xfId="0"/>
    <xf numFmtId="0" fontId="0" fillId="3" borderId="0" xfId="0" applyFill="1"/>
    <xf numFmtId="0" fontId="0" fillId="0" borderId="0" xfId="0"/>
    <xf numFmtId="0" fontId="0" fillId="4" borderId="0" xfId="0" applyFill="1"/>
  </cellXfs>
  <cellStyles count="2">
    <cellStyle name="Normal" xfId="0" builtinId="0"/>
    <cellStyle name="Porcentaje" xfId="1" builtinId="5"/>
  </cellStyles>
  <dxfs count="2">
    <dxf>
      <numFmt numFmtId="1" formatCode="0"/>
    </dxf>
    <dxf>
      <numFmt numFmtId="164" formatCode="0.000000000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298450</xdr:colOff>
      <xdr:row>4</xdr:row>
      <xdr:rowOff>63500</xdr:rowOff>
    </xdr:from>
    <xdr:to>
      <xdr:col>20</xdr:col>
      <xdr:colOff>32351</xdr:colOff>
      <xdr:row>7</xdr:row>
      <xdr:rowOff>92156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/>
      </xdr:blipFill>
      <xdr:spPr bwMode="auto">
        <a:xfrm>
          <a:off x="12001500" y="800100"/>
          <a:ext cx="4305901" cy="581106"/>
        </a:xfrm>
        <a:prstGeom prst="rect">
          <a:avLst/>
        </a:prstGeom>
      </xdr:spPr>
    </xdr:pic>
    <xdr:clientData/>
  </xdr:twoCellAnchor>
  <xdr:twoCellAnchor>
    <xdr:from>
      <xdr:col>17</xdr:col>
      <xdr:colOff>171450</xdr:colOff>
      <xdr:row>11</xdr:row>
      <xdr:rowOff>171450</xdr:rowOff>
    </xdr:from>
    <xdr:to>
      <xdr:col>20</xdr:col>
      <xdr:colOff>444500</xdr:colOff>
      <xdr:row>18</xdr:row>
      <xdr:rowOff>88900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 bwMode="auto">
        <a:xfrm>
          <a:off x="14160500" y="2197100"/>
          <a:ext cx="2559050" cy="1206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defRPr/>
          </a:pPr>
          <a:r>
            <a:rPr lang="es-MX" sz="1100"/>
            <a:t>Turbina francis</a:t>
          </a:r>
          <a:endParaRPr/>
        </a:p>
        <a:p>
          <a:pPr>
            <a:defRPr/>
          </a:pPr>
          <a:endParaRPr lang="es-MX" sz="1100"/>
        </a:p>
        <a:p>
          <a:pPr>
            <a:defRPr/>
          </a:pPr>
          <a:r>
            <a:rPr lang="es-MX" sz="1100"/>
            <a:t>Es la más apropiada para la toma</a:t>
          </a:r>
          <a:endParaRPr/>
        </a:p>
        <a:p>
          <a:pPr>
            <a:defRPr/>
          </a:pPr>
          <a:r>
            <a:rPr lang="es-MX" sz="1100"/>
            <a:t>No tiene caudales variables.</a:t>
          </a:r>
          <a:endParaRPr/>
        </a:p>
        <a:p>
          <a:pPr>
            <a:defRPr/>
          </a:pPr>
          <a:r>
            <a:rPr lang="es-MX" sz="1100"/>
            <a:t>velocidad constante</a:t>
          </a:r>
          <a:endParaRPr/>
        </a:p>
        <a:p>
          <a:pPr>
            <a:defRPr/>
          </a:pPr>
          <a:endParaRPr lang="es-MX" sz="1100"/>
        </a:p>
        <a:p>
          <a:pPr>
            <a:defRPr/>
          </a:pPr>
          <a:endParaRPr lang="es-MX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298449</xdr:colOff>
      <xdr:row>4</xdr:row>
      <xdr:rowOff>63499</xdr:rowOff>
    </xdr:from>
    <xdr:to>
      <xdr:col>20</xdr:col>
      <xdr:colOff>32350</xdr:colOff>
      <xdr:row>7</xdr:row>
      <xdr:rowOff>92155</xdr:rowOff>
    </xdr:to>
    <xdr:pic>
      <xdr:nvPicPr>
        <xdr:cNvPr id="1970214899" name="Imagen 1">
          <a:extLst>
            <a:ext uri="{FF2B5EF4-FFF2-40B4-BE49-F238E27FC236}">
              <a16:creationId xmlns:a16="http://schemas.microsoft.com/office/drawing/2014/main" id="{00000000-0008-0000-0100-0000F3176F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/>
      </xdr:blipFill>
      <xdr:spPr bwMode="auto">
        <a:xfrm>
          <a:off x="12001500" y="800100"/>
          <a:ext cx="4305900" cy="581105"/>
        </a:xfrm>
        <a:prstGeom prst="rect">
          <a:avLst/>
        </a:prstGeom>
      </xdr:spPr>
    </xdr:pic>
    <xdr:clientData/>
  </xdr:twoCellAnchor>
  <xdr:twoCellAnchor>
    <xdr:from>
      <xdr:col>17</xdr:col>
      <xdr:colOff>171449</xdr:colOff>
      <xdr:row>11</xdr:row>
      <xdr:rowOff>171449</xdr:rowOff>
    </xdr:from>
    <xdr:to>
      <xdr:col>20</xdr:col>
      <xdr:colOff>444499</xdr:colOff>
      <xdr:row>18</xdr:row>
      <xdr:rowOff>88899</xdr:rowOff>
    </xdr:to>
    <xdr:sp macro="" textlink="">
      <xdr:nvSpPr>
        <xdr:cNvPr id="1938011704" name="CuadroTexto 2">
          <a:extLst>
            <a:ext uri="{FF2B5EF4-FFF2-40B4-BE49-F238E27FC236}">
              <a16:creationId xmlns:a16="http://schemas.microsoft.com/office/drawing/2014/main" id="{00000000-0008-0000-0100-000038B68373}"/>
            </a:ext>
          </a:extLst>
        </xdr:cNvPr>
        <xdr:cNvSpPr txBox="1"/>
      </xdr:nvSpPr>
      <xdr:spPr bwMode="auto">
        <a:xfrm>
          <a:off x="14160499" y="2197099"/>
          <a:ext cx="2559049" cy="120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defRPr/>
          </a:pPr>
          <a:r>
            <a:rPr lang="es-MX" sz="1100"/>
            <a:t>Turbina francis</a:t>
          </a:r>
          <a:endParaRPr/>
        </a:p>
        <a:p>
          <a:pPr>
            <a:defRPr/>
          </a:pPr>
          <a:endParaRPr lang="es-MX" sz="1100"/>
        </a:p>
        <a:p>
          <a:pPr>
            <a:defRPr/>
          </a:pPr>
          <a:r>
            <a:rPr lang="es-MX" sz="1100"/>
            <a:t>Es la más apropiada para la toma</a:t>
          </a:r>
          <a:endParaRPr/>
        </a:p>
        <a:p>
          <a:pPr>
            <a:defRPr/>
          </a:pPr>
          <a:r>
            <a:rPr lang="es-MX" sz="1100"/>
            <a:t>No tiene caudales variables.</a:t>
          </a:r>
          <a:endParaRPr/>
        </a:p>
        <a:p>
          <a:pPr>
            <a:defRPr/>
          </a:pPr>
          <a:r>
            <a:rPr lang="es-MX" sz="1100"/>
            <a:t>velocidad constante</a:t>
          </a:r>
          <a:endParaRPr/>
        </a:p>
        <a:p>
          <a:pPr>
            <a:defRPr/>
          </a:pPr>
          <a:endParaRPr lang="es-MX" sz="1100"/>
        </a:p>
        <a:p>
          <a:pPr>
            <a:defRPr/>
          </a:pPr>
          <a:endParaRPr lang="es-MX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B179">
  <autoFilter ref="A1:B179" xr:uid="{00000000-0009-0000-0100-000001000000}"/>
  <tableColumns count="2">
    <tableColumn id="1" xr3:uid="{00000000-0010-0000-0000-000001000000}" name="distance" dataDxfId="1"/>
    <tableColumn id="2" xr3:uid="{00000000-0010-0000-0000-000002000000}" name="Elev_CEM1" dataDxfId="0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" displayName="Table1" ref="A1:B179">
  <autoFilter ref="A1:B179" xr:uid="{00000000-0009-0000-0100-000002000000}"/>
  <tableColumns count="2">
    <tableColumn id="1" xr3:uid="{00000000-0010-0000-0100-000001000000}" name="distance"/>
    <tableColumn id="2" xr3:uid="{00000000-0010-0000-0100-000002000000}" name="Elev_CEM1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81C6A31-3E74-42C5-8600-046427081209}" name="Table14" displayName="Table14" ref="A1:B179">
  <autoFilter ref="A1:B179" xr:uid="{08B2C3B6-B2D9-44DB-9795-6A334FDFEF7B}"/>
  <tableColumns count="2">
    <tableColumn id="1" xr3:uid="{1A99F263-7291-45C3-93E9-0E5001CC42ED}" name="distance"/>
    <tableColumn id="2" xr3:uid="{51F6A12E-BC49-4A0A-8B47-9747E163675F}" name="Elev_CEM1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2781A45-EB1A-48AE-A464-5EF685031E53}" name="Table145" displayName="Table145" ref="A1:B179">
  <autoFilter ref="A1:B179" xr:uid="{08B2C3B6-B2D9-44DB-9795-6A334FDFEF7B}"/>
  <tableColumns count="2">
    <tableColumn id="1" xr3:uid="{DF6C57E0-3800-4E7F-8B8A-B4691F32F436}" name="distance"/>
    <tableColumn id="2" xr3:uid="{A8EB619A-AFA0-4768-919C-C27CD1FBDCA7}" name="Elev_CEM1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71410B2-E7D2-4E36-AFB1-67D2F615DE43}" name="Table1456" displayName="Table1456" ref="A1:B179">
  <autoFilter ref="A1:B179" xr:uid="{08B2C3B6-B2D9-44DB-9795-6A334FDFEF7B}"/>
  <tableColumns count="2">
    <tableColumn id="1" xr3:uid="{5C0531F0-9A32-4B21-8413-91115A93A97C}" name="distance"/>
    <tableColumn id="2" xr3:uid="{3D97D863-7107-45B7-BAE3-90399C353B16}" name="Elev_CEM1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9"/>
  <sheetViews>
    <sheetView topLeftCell="L1" zoomScale="105" workbookViewId="0">
      <selection activeCell="P1" sqref="P1"/>
    </sheetView>
  </sheetViews>
  <sheetFormatPr baseColWidth="10" defaultRowHeight="15" x14ac:dyDescent="0.25"/>
  <cols>
    <col min="1" max="1" width="24.5703125" style="1" customWidth="1"/>
    <col min="2" max="2" width="12" style="2" customWidth="1"/>
  </cols>
  <sheetData>
    <row r="1" spans="1:26" x14ac:dyDescent="0.25">
      <c r="A1" s="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>
        <v>3.8690000000000002</v>
      </c>
      <c r="J1" t="s">
        <v>8</v>
      </c>
      <c r="K1" t="s">
        <v>9</v>
      </c>
      <c r="L1" t="s">
        <v>10</v>
      </c>
      <c r="O1" t="s">
        <v>11</v>
      </c>
      <c r="R1" t="s">
        <v>12</v>
      </c>
      <c r="S1" t="s">
        <v>13</v>
      </c>
      <c r="T1" t="s">
        <v>14</v>
      </c>
      <c r="V1" s="3" t="s">
        <v>15</v>
      </c>
      <c r="W1" s="3" t="s">
        <v>9</v>
      </c>
      <c r="X1" s="3"/>
      <c r="Y1" s="3" t="s">
        <v>14</v>
      </c>
      <c r="Z1" t="s">
        <v>16</v>
      </c>
    </row>
    <row r="2" spans="1:26" x14ac:dyDescent="0.25">
      <c r="A2" s="1">
        <v>0</v>
      </c>
      <c r="B2" s="2">
        <v>1606</v>
      </c>
    </row>
    <row r="3" spans="1:26" x14ac:dyDescent="0.25">
      <c r="A3" s="1">
        <v>1000</v>
      </c>
      <c r="B3" s="2">
        <v>1500</v>
      </c>
      <c r="C3" s="2">
        <f>(B2-B3)</f>
        <v>106</v>
      </c>
      <c r="D3">
        <v>68</v>
      </c>
      <c r="E3" s="4">
        <f t="shared" ref="E3:E66" si="0">A3/177000</f>
        <v>5.6497175141242938E-3</v>
      </c>
      <c r="F3">
        <f t="shared" ref="F3:F66" si="1">E3*21.36</f>
        <v>0.12067796610169491</v>
      </c>
      <c r="G3">
        <f t="shared" ref="G3:G66" si="2">(1000*F3*C3*0.85*9.81)/1000</f>
        <v>106.66496135593221</v>
      </c>
      <c r="H3">
        <f t="shared" ref="H3:H66" si="3">G3/1000</f>
        <v>0.1066649613559322</v>
      </c>
    </row>
    <row r="4" spans="1:26" x14ac:dyDescent="0.25">
      <c r="A4" s="1">
        <v>2000</v>
      </c>
      <c r="B4" s="2">
        <v>1440</v>
      </c>
      <c r="C4" s="2">
        <f t="shared" ref="C3:C66" si="4">(B3-B4)</f>
        <v>60</v>
      </c>
      <c r="E4" s="4">
        <f t="shared" si="0"/>
        <v>1.1299435028248588E-2</v>
      </c>
      <c r="F4">
        <f t="shared" si="1"/>
        <v>0.24135593220338983</v>
      </c>
      <c r="G4">
        <f t="shared" si="2"/>
        <v>120.75278644067797</v>
      </c>
      <c r="H4">
        <f t="shared" si="3"/>
        <v>0.12075278644067797</v>
      </c>
    </row>
    <row r="5" spans="1:26" x14ac:dyDescent="0.25">
      <c r="A5" s="1">
        <v>3000</v>
      </c>
      <c r="B5" s="2">
        <v>1336</v>
      </c>
      <c r="C5" s="2">
        <f t="shared" si="4"/>
        <v>104</v>
      </c>
      <c r="E5" s="4">
        <f t="shared" si="0"/>
        <v>1.6949152542372881E-2</v>
      </c>
      <c r="F5">
        <f t="shared" si="1"/>
        <v>0.36203389830508476</v>
      </c>
      <c r="G5">
        <f t="shared" si="2"/>
        <v>313.95724474576269</v>
      </c>
      <c r="H5">
        <f t="shared" si="3"/>
        <v>0.3139572447457627</v>
      </c>
      <c r="I5" s="2">
        <f t="shared" ref="I5:I68" si="5">B2-B5</f>
        <v>270</v>
      </c>
      <c r="K5">
        <f t="shared" ref="K5:K68" si="6">(1000*9.81*I5*F5*0.85)/1000000</f>
        <v>0.81508130847457627</v>
      </c>
    </row>
    <row r="6" spans="1:26" x14ac:dyDescent="0.25">
      <c r="A6" s="1">
        <v>4000</v>
      </c>
      <c r="B6" s="2">
        <v>1257</v>
      </c>
      <c r="C6" s="2">
        <f t="shared" si="4"/>
        <v>79</v>
      </c>
      <c r="E6" s="4">
        <f t="shared" si="0"/>
        <v>2.2598870056497175E-2</v>
      </c>
      <c r="F6">
        <f t="shared" si="1"/>
        <v>0.48271186440677966</v>
      </c>
      <c r="G6">
        <f t="shared" si="2"/>
        <v>317.98233762711862</v>
      </c>
      <c r="H6">
        <f t="shared" si="3"/>
        <v>0.31798233762711864</v>
      </c>
      <c r="I6" s="2">
        <f t="shared" si="5"/>
        <v>243</v>
      </c>
      <c r="K6">
        <f t="shared" si="6"/>
        <v>0.9780975701694915</v>
      </c>
    </row>
    <row r="7" spans="1:26" x14ac:dyDescent="0.25">
      <c r="A7" s="1">
        <v>5000</v>
      </c>
      <c r="B7" s="2">
        <v>1199</v>
      </c>
      <c r="C7" s="2">
        <f t="shared" si="4"/>
        <v>58</v>
      </c>
      <c r="E7" s="4">
        <f t="shared" si="0"/>
        <v>2.8248587570621469E-2</v>
      </c>
      <c r="F7">
        <f t="shared" si="1"/>
        <v>0.60338983050847461</v>
      </c>
      <c r="G7">
        <f t="shared" si="2"/>
        <v>291.81923389830513</v>
      </c>
      <c r="H7">
        <f t="shared" si="3"/>
        <v>0.29181923389830511</v>
      </c>
      <c r="I7" s="2">
        <f t="shared" si="5"/>
        <v>241</v>
      </c>
      <c r="K7">
        <f t="shared" si="6"/>
        <v>1.2125592305084747</v>
      </c>
    </row>
    <row r="8" spans="1:26" x14ac:dyDescent="0.25">
      <c r="A8" s="1">
        <v>6000</v>
      </c>
      <c r="B8" s="2">
        <v>1133</v>
      </c>
      <c r="C8" s="2">
        <f t="shared" si="4"/>
        <v>66</v>
      </c>
      <c r="E8" s="4">
        <f t="shared" si="0"/>
        <v>3.3898305084745763E-2</v>
      </c>
      <c r="F8">
        <f t="shared" si="1"/>
        <v>0.72406779661016951</v>
      </c>
      <c r="G8">
        <f t="shared" si="2"/>
        <v>398.48419525423719</v>
      </c>
      <c r="H8">
        <f t="shared" si="3"/>
        <v>0.39848419525423717</v>
      </c>
      <c r="I8" s="2">
        <f t="shared" si="5"/>
        <v>203</v>
      </c>
      <c r="K8">
        <f t="shared" si="6"/>
        <v>1.2256407823728814</v>
      </c>
    </row>
    <row r="9" spans="1:26" x14ac:dyDescent="0.25">
      <c r="A9" s="1">
        <v>7000</v>
      </c>
      <c r="B9" s="2">
        <v>1056</v>
      </c>
      <c r="C9" s="2">
        <f t="shared" si="4"/>
        <v>77</v>
      </c>
      <c r="E9" s="4">
        <f t="shared" si="0"/>
        <v>3.954802259887006E-2</v>
      </c>
      <c r="F9">
        <f t="shared" si="1"/>
        <v>0.84474576271186441</v>
      </c>
      <c r="G9">
        <f t="shared" si="2"/>
        <v>542.38126576271191</v>
      </c>
      <c r="H9">
        <f t="shared" si="3"/>
        <v>0.54238126576271195</v>
      </c>
      <c r="I9" s="2">
        <f t="shared" si="5"/>
        <v>201</v>
      </c>
      <c r="K9">
        <f t="shared" si="6"/>
        <v>1.4158264210169489</v>
      </c>
      <c r="L9" s="2">
        <f>B2-B9</f>
        <v>550</v>
      </c>
      <c r="M9">
        <f>(1000*9.81*F9*L9*0.85)/1000000</f>
        <v>3.874151898305084</v>
      </c>
    </row>
    <row r="10" spans="1:26" x14ac:dyDescent="0.25">
      <c r="A10" s="1">
        <v>8000</v>
      </c>
      <c r="B10" s="2">
        <v>997</v>
      </c>
      <c r="C10" s="2">
        <f t="shared" si="4"/>
        <v>59</v>
      </c>
      <c r="E10" s="4">
        <f t="shared" si="0"/>
        <v>4.519774011299435E-2</v>
      </c>
      <c r="F10">
        <f t="shared" si="1"/>
        <v>0.96542372881355931</v>
      </c>
      <c r="G10">
        <f t="shared" si="2"/>
        <v>474.96096</v>
      </c>
      <c r="H10">
        <f t="shared" si="3"/>
        <v>0.47496095999999999</v>
      </c>
      <c r="I10" s="2">
        <f t="shared" si="5"/>
        <v>202</v>
      </c>
      <c r="K10">
        <f t="shared" si="6"/>
        <v>1.6261375240677964</v>
      </c>
      <c r="L10" s="2">
        <f t="shared" ref="L10:L73" si="7">B3-B10</f>
        <v>503</v>
      </c>
      <c r="M10">
        <f t="shared" ref="M10:M73" si="8">(1000*9.81*F10*L10*0.85)/1000000</f>
        <v>4.0492434386440674</v>
      </c>
    </row>
    <row r="11" spans="1:26" x14ac:dyDescent="0.25">
      <c r="A11" s="1">
        <v>9000</v>
      </c>
      <c r="B11" s="2">
        <v>956</v>
      </c>
      <c r="C11" s="2">
        <f t="shared" si="4"/>
        <v>41</v>
      </c>
      <c r="E11" s="4">
        <f t="shared" si="0"/>
        <v>5.0847457627118647E-2</v>
      </c>
      <c r="F11">
        <f t="shared" si="1"/>
        <v>1.0861016949152542</v>
      </c>
      <c r="G11">
        <f t="shared" si="2"/>
        <v>371.31481830508477</v>
      </c>
      <c r="H11">
        <f t="shared" si="3"/>
        <v>0.37131481830508478</v>
      </c>
      <c r="I11" s="2">
        <f t="shared" si="5"/>
        <v>177</v>
      </c>
      <c r="K11">
        <f t="shared" si="6"/>
        <v>1.60299324</v>
      </c>
      <c r="L11" s="2">
        <f t="shared" si="7"/>
        <v>484</v>
      </c>
      <c r="M11">
        <f t="shared" si="8"/>
        <v>4.383326147796609</v>
      </c>
      <c r="O11" s="2">
        <f t="shared" ref="O11:O74" si="9">B2-B11</f>
        <v>650</v>
      </c>
      <c r="P11">
        <f t="shared" ref="P11:P74" si="10">(1000*9.81*F11*O11*0.85)/1000000</f>
        <v>5.8866983389830505</v>
      </c>
    </row>
    <row r="12" spans="1:26" x14ac:dyDescent="0.25">
      <c r="A12" s="1">
        <v>10000</v>
      </c>
      <c r="B12" s="2">
        <v>907</v>
      </c>
      <c r="C12" s="2">
        <f t="shared" si="4"/>
        <v>49</v>
      </c>
      <c r="E12" s="4">
        <f t="shared" si="0"/>
        <v>5.6497175141242938E-2</v>
      </c>
      <c r="F12">
        <f t="shared" si="1"/>
        <v>1.2067796610169492</v>
      </c>
      <c r="G12">
        <f t="shared" si="2"/>
        <v>493.07387796610169</v>
      </c>
      <c r="H12">
        <f t="shared" si="3"/>
        <v>0.49307387796610169</v>
      </c>
      <c r="I12" s="2">
        <f t="shared" si="5"/>
        <v>149</v>
      </c>
      <c r="K12">
        <f t="shared" si="6"/>
        <v>1.4993470983050847</v>
      </c>
      <c r="L12" s="2">
        <f t="shared" si="7"/>
        <v>429</v>
      </c>
      <c r="M12">
        <f t="shared" si="8"/>
        <v>4.3169121152542376</v>
      </c>
      <c r="O12" s="2">
        <f t="shared" si="9"/>
        <v>593</v>
      </c>
      <c r="P12">
        <f t="shared" si="10"/>
        <v>5.96720019661017</v>
      </c>
    </row>
    <row r="13" spans="1:26" x14ac:dyDescent="0.25">
      <c r="A13" s="1">
        <v>11000</v>
      </c>
      <c r="B13" s="2">
        <v>869</v>
      </c>
      <c r="C13" s="2">
        <f t="shared" si="4"/>
        <v>38</v>
      </c>
      <c r="E13" s="4">
        <f t="shared" si="0"/>
        <v>6.2146892655367235E-2</v>
      </c>
      <c r="F13">
        <f t="shared" si="1"/>
        <v>1.327457627118644</v>
      </c>
      <c r="G13">
        <f t="shared" si="2"/>
        <v>420.62220610169493</v>
      </c>
      <c r="H13">
        <f t="shared" si="3"/>
        <v>0.42062220610169493</v>
      </c>
      <c r="I13" s="2">
        <f t="shared" si="5"/>
        <v>128</v>
      </c>
      <c r="K13">
        <f t="shared" si="6"/>
        <v>1.4168326942372877</v>
      </c>
      <c r="L13" s="2">
        <f t="shared" si="7"/>
        <v>388</v>
      </c>
      <c r="M13">
        <f t="shared" si="8"/>
        <v>4.2947741044067786</v>
      </c>
      <c r="O13" s="2">
        <f t="shared" si="9"/>
        <v>571</v>
      </c>
      <c r="P13">
        <f t="shared" si="10"/>
        <v>6.3204020969491514</v>
      </c>
    </row>
    <row r="14" spans="1:26" x14ac:dyDescent="0.25">
      <c r="A14" s="1">
        <v>12000</v>
      </c>
      <c r="B14" s="2">
        <v>843</v>
      </c>
      <c r="C14" s="2">
        <f t="shared" si="4"/>
        <v>26</v>
      </c>
      <c r="E14" s="4">
        <f t="shared" si="0"/>
        <v>6.7796610169491525E-2</v>
      </c>
      <c r="F14">
        <f t="shared" si="1"/>
        <v>1.448135593220339</v>
      </c>
      <c r="G14">
        <f t="shared" si="2"/>
        <v>313.95724474576269</v>
      </c>
      <c r="H14">
        <f t="shared" si="3"/>
        <v>0.3139572447457627</v>
      </c>
      <c r="I14" s="2">
        <f t="shared" si="5"/>
        <v>113</v>
      </c>
      <c r="K14">
        <f t="shared" si="6"/>
        <v>1.364506486779661</v>
      </c>
      <c r="L14" s="2">
        <f t="shared" si="7"/>
        <v>356</v>
      </c>
      <c r="M14">
        <f t="shared" si="8"/>
        <v>4.298799197288135</v>
      </c>
      <c r="O14" s="2">
        <f t="shared" si="9"/>
        <v>493</v>
      </c>
      <c r="P14">
        <f t="shared" si="10"/>
        <v>5.9531123715254237</v>
      </c>
    </row>
    <row r="15" spans="1:26" x14ac:dyDescent="0.25">
      <c r="A15" s="1">
        <v>13000</v>
      </c>
      <c r="B15" s="2">
        <v>835</v>
      </c>
      <c r="C15" s="2">
        <f t="shared" si="4"/>
        <v>8</v>
      </c>
      <c r="E15" s="4">
        <f t="shared" si="0"/>
        <v>7.3446327683615822E-2</v>
      </c>
      <c r="F15">
        <f t="shared" si="1"/>
        <v>1.568813559322034</v>
      </c>
      <c r="G15">
        <f t="shared" si="2"/>
        <v>104.65241491525425</v>
      </c>
      <c r="H15">
        <f t="shared" si="3"/>
        <v>0.10465241491525426</v>
      </c>
      <c r="I15" s="2">
        <f t="shared" si="5"/>
        <v>72</v>
      </c>
      <c r="K15">
        <f t="shared" si="6"/>
        <v>0.94187173423728809</v>
      </c>
      <c r="L15" s="2">
        <f t="shared" si="7"/>
        <v>298</v>
      </c>
      <c r="M15">
        <f t="shared" si="8"/>
        <v>3.8983024555932206</v>
      </c>
      <c r="O15" s="2">
        <f t="shared" si="9"/>
        <v>422</v>
      </c>
      <c r="P15">
        <f t="shared" si="10"/>
        <v>5.520414886779661</v>
      </c>
    </row>
    <row r="16" spans="1:26" x14ac:dyDescent="0.25">
      <c r="A16" s="1">
        <v>14000</v>
      </c>
      <c r="B16" s="2">
        <v>811</v>
      </c>
      <c r="C16" s="2">
        <f t="shared" si="4"/>
        <v>24</v>
      </c>
      <c r="E16" s="4">
        <f t="shared" si="0"/>
        <v>7.909604519774012E-2</v>
      </c>
      <c r="F16">
        <f t="shared" si="1"/>
        <v>1.6894915254237288</v>
      </c>
      <c r="G16">
        <f t="shared" si="2"/>
        <v>338.10780203389828</v>
      </c>
      <c r="H16">
        <f t="shared" si="3"/>
        <v>0.33810780203389829</v>
      </c>
      <c r="I16" s="2">
        <f t="shared" si="5"/>
        <v>58</v>
      </c>
      <c r="K16">
        <f t="shared" si="6"/>
        <v>0.81709385491525433</v>
      </c>
      <c r="L16" s="2">
        <f t="shared" si="7"/>
        <v>245</v>
      </c>
      <c r="M16">
        <f t="shared" si="8"/>
        <v>3.4515171457627116</v>
      </c>
      <c r="O16" s="2">
        <f t="shared" si="9"/>
        <v>388</v>
      </c>
      <c r="P16">
        <f t="shared" si="10"/>
        <v>5.4660761328813559</v>
      </c>
      <c r="V16" s="2">
        <f t="shared" ref="V16:V79" si="11">B2-B16</f>
        <v>795</v>
      </c>
      <c r="W16">
        <f t="shared" ref="W16:W79" si="12">(1000*9.81*F16*V16*0.85)/1000000</f>
        <v>11.199820942372881</v>
      </c>
      <c r="Y16">
        <f t="shared" ref="Y16:Y79" si="13">(W16*8640*0.401)/1000</f>
        <v>38.803347629782778</v>
      </c>
    </row>
    <row r="17" spans="1:25" x14ac:dyDescent="0.25">
      <c r="A17" s="1">
        <v>15000</v>
      </c>
      <c r="B17" s="2">
        <v>767</v>
      </c>
      <c r="C17" s="2">
        <f t="shared" si="4"/>
        <v>44</v>
      </c>
      <c r="E17" s="4">
        <f t="shared" si="0"/>
        <v>8.4745762711864403E-2</v>
      </c>
      <c r="F17">
        <f t="shared" si="1"/>
        <v>1.8101694915254236</v>
      </c>
      <c r="G17">
        <f t="shared" si="2"/>
        <v>664.14032542372877</v>
      </c>
      <c r="H17">
        <f t="shared" si="3"/>
        <v>0.66414032542372881</v>
      </c>
      <c r="I17" s="2">
        <f t="shared" si="5"/>
        <v>76</v>
      </c>
      <c r="K17">
        <f t="shared" si="6"/>
        <v>1.1471514711864406</v>
      </c>
      <c r="L17" s="2">
        <f t="shared" si="7"/>
        <v>230</v>
      </c>
      <c r="M17">
        <f t="shared" si="8"/>
        <v>3.4716426101694906</v>
      </c>
      <c r="O17" s="2">
        <f t="shared" si="9"/>
        <v>366</v>
      </c>
      <c r="P17">
        <f t="shared" si="10"/>
        <v>5.5244399796610155</v>
      </c>
      <c r="V17" s="2">
        <f t="shared" si="11"/>
        <v>733</v>
      </c>
      <c r="W17">
        <f t="shared" si="12"/>
        <v>11.063974057627117</v>
      </c>
      <c r="Y17">
        <f t="shared" si="13"/>
        <v>38.332687079017219</v>
      </c>
    </row>
    <row r="18" spans="1:25" x14ac:dyDescent="0.25">
      <c r="A18" s="1">
        <v>16000</v>
      </c>
      <c r="B18" s="2">
        <v>747</v>
      </c>
      <c r="C18" s="2">
        <f t="shared" si="4"/>
        <v>20</v>
      </c>
      <c r="E18" s="4">
        <f t="shared" si="0"/>
        <v>9.03954802259887E-2</v>
      </c>
      <c r="F18">
        <f t="shared" si="1"/>
        <v>1.9308474576271186</v>
      </c>
      <c r="G18">
        <f t="shared" si="2"/>
        <v>322.00743050847461</v>
      </c>
      <c r="H18">
        <f t="shared" si="3"/>
        <v>0.32200743050847463</v>
      </c>
      <c r="I18" s="2">
        <f t="shared" si="5"/>
        <v>88</v>
      </c>
      <c r="K18">
        <f t="shared" si="6"/>
        <v>1.4168326942372882</v>
      </c>
      <c r="L18" s="2">
        <f t="shared" si="7"/>
        <v>209</v>
      </c>
      <c r="M18">
        <f t="shared" si="8"/>
        <v>3.3649776488135599</v>
      </c>
      <c r="O18" s="2">
        <f t="shared" si="9"/>
        <v>309</v>
      </c>
      <c r="P18">
        <f t="shared" si="10"/>
        <v>4.9750148013559317</v>
      </c>
      <c r="V18" s="2">
        <f t="shared" si="11"/>
        <v>693</v>
      </c>
      <c r="W18">
        <f t="shared" si="12"/>
        <v>11.157557467118643</v>
      </c>
      <c r="Y18">
        <f t="shared" si="13"/>
        <v>38.656919902877938</v>
      </c>
    </row>
    <row r="19" spans="1:25" x14ac:dyDescent="0.25">
      <c r="A19" s="1">
        <v>17000</v>
      </c>
      <c r="B19" s="2">
        <v>731</v>
      </c>
      <c r="C19" s="2">
        <f t="shared" si="4"/>
        <v>16</v>
      </c>
      <c r="E19" s="4">
        <f t="shared" si="0"/>
        <v>9.6045197740112997E-2</v>
      </c>
      <c r="F19">
        <f t="shared" si="1"/>
        <v>2.0515254237288136</v>
      </c>
      <c r="G19">
        <f t="shared" si="2"/>
        <v>273.70631593220338</v>
      </c>
      <c r="H19">
        <f t="shared" si="3"/>
        <v>0.2737063159322034</v>
      </c>
      <c r="I19" s="2">
        <f t="shared" si="5"/>
        <v>80</v>
      </c>
      <c r="K19">
        <f t="shared" si="6"/>
        <v>1.3685315796610171</v>
      </c>
      <c r="L19" s="2">
        <f t="shared" si="7"/>
        <v>176</v>
      </c>
      <c r="M19">
        <f t="shared" si="8"/>
        <v>3.0107694752542371</v>
      </c>
      <c r="O19" s="2">
        <f t="shared" si="9"/>
        <v>266</v>
      </c>
      <c r="P19">
        <f t="shared" si="10"/>
        <v>4.5503675023728816</v>
      </c>
      <c r="V19" s="5">
        <f t="shared" si="11"/>
        <v>605</v>
      </c>
      <c r="W19" s="3">
        <f t="shared" si="12"/>
        <v>10.34952007118644</v>
      </c>
      <c r="X19" s="3"/>
      <c r="Y19" s="3">
        <f t="shared" si="13"/>
        <v>35.857361219435383</v>
      </c>
    </row>
    <row r="20" spans="1:25" x14ac:dyDescent="0.25">
      <c r="A20" s="1">
        <v>18000</v>
      </c>
      <c r="B20" s="2">
        <v>712</v>
      </c>
      <c r="C20" s="2">
        <f t="shared" si="4"/>
        <v>19</v>
      </c>
      <c r="E20" s="4">
        <f t="shared" si="0"/>
        <v>0.10169491525423729</v>
      </c>
      <c r="F20">
        <f t="shared" si="1"/>
        <v>2.1722033898305084</v>
      </c>
      <c r="G20">
        <f t="shared" si="2"/>
        <v>344.14544135593223</v>
      </c>
      <c r="H20">
        <f t="shared" si="3"/>
        <v>0.34414544135593222</v>
      </c>
      <c r="I20" s="2">
        <f t="shared" si="5"/>
        <v>55</v>
      </c>
      <c r="K20">
        <f t="shared" si="6"/>
        <v>0.9962104881355931</v>
      </c>
      <c r="L20" s="2">
        <f t="shared" si="7"/>
        <v>157</v>
      </c>
      <c r="M20">
        <f t="shared" si="8"/>
        <v>2.8437281206779663</v>
      </c>
      <c r="O20" s="2">
        <f t="shared" si="9"/>
        <v>244</v>
      </c>
      <c r="P20">
        <f t="shared" si="10"/>
        <v>4.4195519837288142</v>
      </c>
      <c r="V20" s="5">
        <f t="shared" si="11"/>
        <v>545</v>
      </c>
      <c r="W20" s="3">
        <f t="shared" si="12"/>
        <v>9.8715402915254238</v>
      </c>
      <c r="X20" s="3"/>
      <c r="Y20" s="3">
        <f t="shared" si="13"/>
        <v>34.201333355630645</v>
      </c>
    </row>
    <row r="21" spans="1:25" x14ac:dyDescent="0.25">
      <c r="A21" s="1">
        <v>19000</v>
      </c>
      <c r="B21" s="2">
        <v>694</v>
      </c>
      <c r="C21" s="2">
        <f t="shared" si="4"/>
        <v>18</v>
      </c>
      <c r="E21" s="4">
        <f t="shared" si="0"/>
        <v>0.10734463276836158</v>
      </c>
      <c r="F21">
        <f t="shared" si="1"/>
        <v>2.2928813559322032</v>
      </c>
      <c r="G21">
        <f t="shared" si="2"/>
        <v>344.14544135593223</v>
      </c>
      <c r="H21">
        <f t="shared" si="3"/>
        <v>0.34414544135593222</v>
      </c>
      <c r="I21" s="2">
        <f t="shared" si="5"/>
        <v>53</v>
      </c>
      <c r="K21">
        <f t="shared" si="6"/>
        <v>1.0133171328813559</v>
      </c>
      <c r="L21" s="2">
        <f t="shared" si="7"/>
        <v>149</v>
      </c>
      <c r="M21">
        <f t="shared" si="8"/>
        <v>2.8487594867796608</v>
      </c>
      <c r="O21" s="2">
        <f t="shared" si="9"/>
        <v>213</v>
      </c>
      <c r="P21">
        <f t="shared" si="10"/>
        <v>4.0723877227118646</v>
      </c>
      <c r="R21" s="2">
        <f t="shared" ref="R21:R84" si="14">B2-B21</f>
        <v>912</v>
      </c>
      <c r="S21">
        <f t="shared" ref="S21:S84" si="15">(1000*9.81*F21*R21*0.85)/1000000</f>
        <v>17.436702362033898</v>
      </c>
      <c r="T21">
        <f t="shared" ref="T21:T84" si="16">(S21*8640*0.401)/1000</f>
        <v>60.411896471597125</v>
      </c>
      <c r="V21" s="5">
        <f t="shared" si="11"/>
        <v>505</v>
      </c>
      <c r="W21" s="3">
        <f t="shared" si="12"/>
        <v>9.6551915491525424</v>
      </c>
      <c r="X21" s="3"/>
      <c r="Y21" s="3">
        <f t="shared" si="13"/>
        <v>33.451762848855864</v>
      </c>
    </row>
    <row r="22" spans="1:25" x14ac:dyDescent="0.25">
      <c r="A22" s="1">
        <v>20000</v>
      </c>
      <c r="B22" s="2">
        <v>656</v>
      </c>
      <c r="C22" s="2">
        <f t="shared" si="4"/>
        <v>38</v>
      </c>
      <c r="E22" s="4">
        <f t="shared" si="0"/>
        <v>0.11299435028248588</v>
      </c>
      <c r="F22">
        <f t="shared" si="1"/>
        <v>2.4135593220338984</v>
      </c>
      <c r="G22">
        <f t="shared" si="2"/>
        <v>764.76764745762716</v>
      </c>
      <c r="H22">
        <f t="shared" si="3"/>
        <v>0.76476764745762715</v>
      </c>
      <c r="I22" s="2">
        <f t="shared" si="5"/>
        <v>75</v>
      </c>
      <c r="K22">
        <f t="shared" si="6"/>
        <v>1.5094098305084744</v>
      </c>
      <c r="L22" s="2">
        <f t="shared" si="7"/>
        <v>179</v>
      </c>
      <c r="M22">
        <f t="shared" si="8"/>
        <v>3.6024581288135593</v>
      </c>
      <c r="O22" s="2">
        <f t="shared" si="9"/>
        <v>213</v>
      </c>
      <c r="P22">
        <f t="shared" si="10"/>
        <v>4.2867239186440678</v>
      </c>
      <c r="R22" s="2">
        <f t="shared" si="14"/>
        <v>844</v>
      </c>
      <c r="S22">
        <f t="shared" si="15"/>
        <v>16.985891959322036</v>
      </c>
      <c r="T22">
        <f t="shared" si="16"/>
        <v>58.850000717945498</v>
      </c>
      <c r="V22" s="2">
        <f t="shared" si="11"/>
        <v>477</v>
      </c>
      <c r="W22">
        <f t="shared" si="12"/>
        <v>9.5998465220339</v>
      </c>
      <c r="Y22">
        <f t="shared" si="13"/>
        <v>33.260012254099529</v>
      </c>
    </row>
    <row r="23" spans="1:25" x14ac:dyDescent="0.25">
      <c r="A23" s="1">
        <v>21000</v>
      </c>
      <c r="B23" s="2">
        <v>629</v>
      </c>
      <c r="C23" s="2">
        <f t="shared" si="4"/>
        <v>27</v>
      </c>
      <c r="E23" s="4">
        <f t="shared" si="0"/>
        <v>0.11864406779661017</v>
      </c>
      <c r="F23">
        <f t="shared" si="1"/>
        <v>2.5342372881355932</v>
      </c>
      <c r="G23">
        <f t="shared" si="2"/>
        <v>570.55691593220342</v>
      </c>
      <c r="H23">
        <f t="shared" si="3"/>
        <v>0.57055691593220348</v>
      </c>
      <c r="I23" s="2">
        <f t="shared" si="5"/>
        <v>83</v>
      </c>
      <c r="K23">
        <f t="shared" si="6"/>
        <v>1.7539342230508475</v>
      </c>
      <c r="L23" s="2">
        <f t="shared" si="7"/>
        <v>182</v>
      </c>
      <c r="M23">
        <f t="shared" si="8"/>
        <v>3.8459762481355932</v>
      </c>
      <c r="O23" s="2">
        <f t="shared" si="9"/>
        <v>214</v>
      </c>
      <c r="P23">
        <f t="shared" si="10"/>
        <v>4.5221918522033899</v>
      </c>
      <c r="R23" s="2">
        <f t="shared" si="14"/>
        <v>811</v>
      </c>
      <c r="S23">
        <f t="shared" si="15"/>
        <v>17.137839215593221</v>
      </c>
      <c r="T23">
        <f t="shared" si="16"/>
        <v>59.376443259912904</v>
      </c>
      <c r="V23" s="2">
        <f t="shared" si="11"/>
        <v>427</v>
      </c>
      <c r="W23">
        <f t="shared" si="12"/>
        <v>9.0232519667796627</v>
      </c>
      <c r="Y23">
        <f t="shared" si="13"/>
        <v>31.262319694183489</v>
      </c>
    </row>
    <row r="24" spans="1:25" x14ac:dyDescent="0.25">
      <c r="A24" s="1">
        <v>22000</v>
      </c>
      <c r="B24" s="2">
        <v>607</v>
      </c>
      <c r="C24" s="2">
        <f t="shared" si="4"/>
        <v>22</v>
      </c>
      <c r="E24" s="4">
        <f t="shared" si="0"/>
        <v>0.12429378531073447</v>
      </c>
      <c r="F24">
        <f t="shared" si="1"/>
        <v>2.654915254237288</v>
      </c>
      <c r="G24">
        <f t="shared" si="2"/>
        <v>487.03623864406779</v>
      </c>
      <c r="H24">
        <f t="shared" si="3"/>
        <v>0.48703623864406781</v>
      </c>
      <c r="I24" s="2">
        <f t="shared" si="5"/>
        <v>87</v>
      </c>
      <c r="K24">
        <f t="shared" si="6"/>
        <v>1.9260069437288134</v>
      </c>
      <c r="L24" s="2">
        <f t="shared" si="7"/>
        <v>160</v>
      </c>
      <c r="M24">
        <f t="shared" si="8"/>
        <v>3.5420817355932197</v>
      </c>
      <c r="O24" s="2">
        <f t="shared" si="9"/>
        <v>228</v>
      </c>
      <c r="P24">
        <f t="shared" si="10"/>
        <v>5.0474664732203394</v>
      </c>
      <c r="R24" s="2">
        <f t="shared" si="14"/>
        <v>729</v>
      </c>
      <c r="S24">
        <f t="shared" si="15"/>
        <v>16.138609907796607</v>
      </c>
      <c r="T24">
        <f t="shared" si="16"/>
        <v>55.914473430948441</v>
      </c>
      <c r="V24" s="2">
        <f t="shared" si="11"/>
        <v>390</v>
      </c>
      <c r="W24">
        <f t="shared" si="12"/>
        <v>8.6338242305084734</v>
      </c>
      <c r="Y24">
        <f t="shared" si="13"/>
        <v>29.91309278198888</v>
      </c>
    </row>
    <row r="25" spans="1:25" x14ac:dyDescent="0.25">
      <c r="A25" s="1">
        <v>23000</v>
      </c>
      <c r="B25" s="2">
        <v>588</v>
      </c>
      <c r="C25" s="2">
        <f t="shared" si="4"/>
        <v>19</v>
      </c>
      <c r="E25" s="4">
        <f t="shared" si="0"/>
        <v>0.12994350282485875</v>
      </c>
      <c r="F25">
        <f t="shared" si="1"/>
        <v>2.7755932203389828</v>
      </c>
      <c r="G25">
        <f t="shared" si="2"/>
        <v>439.7413972881356</v>
      </c>
      <c r="H25">
        <f t="shared" si="3"/>
        <v>0.4397413972881356</v>
      </c>
      <c r="I25" s="2">
        <f t="shared" si="5"/>
        <v>68</v>
      </c>
      <c r="K25">
        <f t="shared" si="6"/>
        <v>1.5738113166101693</v>
      </c>
      <c r="L25" s="2">
        <f t="shared" si="7"/>
        <v>159</v>
      </c>
      <c r="M25">
        <f t="shared" si="8"/>
        <v>3.6799411667796607</v>
      </c>
      <c r="O25" s="2">
        <f t="shared" si="9"/>
        <v>223</v>
      </c>
      <c r="P25">
        <f t="shared" si="10"/>
        <v>5.1611753471186432</v>
      </c>
      <c r="R25" s="2">
        <f t="shared" si="14"/>
        <v>669</v>
      </c>
      <c r="S25">
        <f t="shared" si="15"/>
        <v>15.483526041355928</v>
      </c>
      <c r="T25">
        <f t="shared" si="16"/>
        <v>53.644843663923396</v>
      </c>
      <c r="V25" s="2">
        <f t="shared" si="11"/>
        <v>368</v>
      </c>
      <c r="W25">
        <f t="shared" si="12"/>
        <v>8.5170965369491505</v>
      </c>
      <c r="Y25">
        <f t="shared" si="13"/>
        <v>29.508673345775502</v>
      </c>
    </row>
    <row r="26" spans="1:25" x14ac:dyDescent="0.25">
      <c r="A26" s="1">
        <v>24000</v>
      </c>
      <c r="B26" s="2">
        <v>585</v>
      </c>
      <c r="C26" s="2">
        <f t="shared" si="4"/>
        <v>3</v>
      </c>
      <c r="E26" s="4">
        <f t="shared" si="0"/>
        <v>0.13559322033898305</v>
      </c>
      <c r="F26">
        <f t="shared" si="1"/>
        <v>2.896271186440678</v>
      </c>
      <c r="G26">
        <f t="shared" si="2"/>
        <v>72.451671864406777</v>
      </c>
      <c r="H26">
        <f t="shared" si="3"/>
        <v>7.2451671864406778E-2</v>
      </c>
      <c r="I26" s="2">
        <f t="shared" si="5"/>
        <v>44</v>
      </c>
      <c r="K26">
        <f t="shared" si="6"/>
        <v>1.0626245206779661</v>
      </c>
      <c r="L26" s="2">
        <f t="shared" si="7"/>
        <v>146</v>
      </c>
      <c r="M26">
        <f t="shared" si="8"/>
        <v>3.5259813640677966</v>
      </c>
      <c r="O26" s="2">
        <f t="shared" si="9"/>
        <v>182</v>
      </c>
      <c r="P26">
        <f t="shared" si="10"/>
        <v>4.395401426440678</v>
      </c>
      <c r="R26" s="2">
        <f t="shared" si="14"/>
        <v>614</v>
      </c>
      <c r="S26">
        <f t="shared" si="15"/>
        <v>14.828442174915255</v>
      </c>
      <c r="T26">
        <f t="shared" si="16"/>
        <v>51.375213896898394</v>
      </c>
      <c r="V26" s="2">
        <f t="shared" si="11"/>
        <v>322</v>
      </c>
      <c r="W26">
        <f t="shared" si="12"/>
        <v>7.7764794467796605</v>
      </c>
      <c r="Y26">
        <f t="shared" si="13"/>
        <v>26.942701750490688</v>
      </c>
    </row>
    <row r="27" spans="1:25" x14ac:dyDescent="0.25">
      <c r="A27" s="1">
        <v>25000</v>
      </c>
      <c r="B27" s="2">
        <v>580</v>
      </c>
      <c r="C27" s="2">
        <f t="shared" si="4"/>
        <v>5</v>
      </c>
      <c r="E27" s="4">
        <f t="shared" si="0"/>
        <v>0.14124293785310735</v>
      </c>
      <c r="F27">
        <f t="shared" si="1"/>
        <v>3.0169491525423728</v>
      </c>
      <c r="G27">
        <f t="shared" si="2"/>
        <v>125.78415254237289</v>
      </c>
      <c r="H27">
        <f t="shared" si="3"/>
        <v>0.12578415254237291</v>
      </c>
      <c r="I27" s="2">
        <f t="shared" si="5"/>
        <v>27</v>
      </c>
      <c r="K27">
        <f t="shared" si="6"/>
        <v>0.67923442372881349</v>
      </c>
      <c r="L27" s="2">
        <f t="shared" si="7"/>
        <v>132</v>
      </c>
      <c r="M27">
        <f t="shared" si="8"/>
        <v>3.3207016271186438</v>
      </c>
      <c r="O27" s="2">
        <f t="shared" si="9"/>
        <v>167</v>
      </c>
      <c r="P27">
        <f t="shared" si="10"/>
        <v>4.2011906949152538</v>
      </c>
      <c r="R27" s="2">
        <f t="shared" si="14"/>
        <v>553</v>
      </c>
      <c r="S27">
        <f t="shared" si="15"/>
        <v>13.911727271186441</v>
      </c>
      <c r="T27">
        <f t="shared" si="16"/>
        <v>48.199126772843393</v>
      </c>
      <c r="V27" s="2">
        <f t="shared" si="11"/>
        <v>289</v>
      </c>
      <c r="W27">
        <f t="shared" si="12"/>
        <v>7.2703240169491528</v>
      </c>
      <c r="Y27">
        <f t="shared" si="13"/>
        <v>25.189055402082715</v>
      </c>
    </row>
    <row r="28" spans="1:25" x14ac:dyDescent="0.25">
      <c r="A28" s="1">
        <v>26000</v>
      </c>
      <c r="B28" s="2">
        <v>559</v>
      </c>
      <c r="C28" s="2">
        <f t="shared" si="4"/>
        <v>21</v>
      </c>
      <c r="E28" s="4">
        <f t="shared" si="0"/>
        <v>0.14689265536723164</v>
      </c>
      <c r="F28">
        <f t="shared" si="1"/>
        <v>3.1376271186440681</v>
      </c>
      <c r="G28">
        <f t="shared" si="2"/>
        <v>549.42517830508484</v>
      </c>
      <c r="H28">
        <f t="shared" si="3"/>
        <v>0.54942517830508486</v>
      </c>
      <c r="I28" s="2">
        <f t="shared" si="5"/>
        <v>29</v>
      </c>
      <c r="K28">
        <f t="shared" si="6"/>
        <v>0.75873000813559321</v>
      </c>
      <c r="L28" s="2">
        <f t="shared" si="7"/>
        <v>135</v>
      </c>
      <c r="M28">
        <f t="shared" si="8"/>
        <v>3.5320190033898307</v>
      </c>
      <c r="O28" s="2">
        <f t="shared" si="9"/>
        <v>172</v>
      </c>
      <c r="P28">
        <f t="shared" si="10"/>
        <v>4.5000538413559319</v>
      </c>
      <c r="R28" s="2">
        <f t="shared" si="14"/>
        <v>497</v>
      </c>
      <c r="S28">
        <f t="shared" si="15"/>
        <v>13.003062553220339</v>
      </c>
      <c r="T28">
        <f t="shared" si="16"/>
        <v>45.050930644389318</v>
      </c>
      <c r="V28" s="2">
        <f t="shared" si="11"/>
        <v>284</v>
      </c>
      <c r="W28">
        <f t="shared" si="12"/>
        <v>7.4303214589830509</v>
      </c>
      <c r="Y28">
        <f t="shared" si="13"/>
        <v>25.743388939651037</v>
      </c>
    </row>
    <row r="29" spans="1:25" x14ac:dyDescent="0.25">
      <c r="A29" s="1">
        <v>27000</v>
      </c>
      <c r="B29" s="2">
        <v>548</v>
      </c>
      <c r="C29" s="2">
        <f t="shared" si="4"/>
        <v>11</v>
      </c>
      <c r="E29" s="4">
        <f t="shared" si="0"/>
        <v>0.15254237288135594</v>
      </c>
      <c r="F29">
        <f t="shared" si="1"/>
        <v>3.2583050847457629</v>
      </c>
      <c r="G29">
        <f t="shared" si="2"/>
        <v>298.86314644067801</v>
      </c>
      <c r="H29">
        <f t="shared" si="3"/>
        <v>0.29886314644067802</v>
      </c>
      <c r="I29" s="2">
        <f t="shared" si="5"/>
        <v>37</v>
      </c>
      <c r="K29">
        <f t="shared" si="6"/>
        <v>1.0052669471186439</v>
      </c>
      <c r="L29" s="2">
        <f t="shared" si="7"/>
        <v>108</v>
      </c>
      <c r="M29">
        <f t="shared" si="8"/>
        <v>2.9342927105084744</v>
      </c>
      <c r="O29" s="2">
        <f t="shared" si="9"/>
        <v>164</v>
      </c>
      <c r="P29">
        <f t="shared" si="10"/>
        <v>4.4557778196610176</v>
      </c>
      <c r="R29" s="2">
        <f t="shared" si="14"/>
        <v>449</v>
      </c>
      <c r="S29">
        <f t="shared" si="15"/>
        <v>12.199050250169492</v>
      </c>
      <c r="T29">
        <f t="shared" si="16"/>
        <v>42.265317458747234</v>
      </c>
      <c r="V29" s="2">
        <f t="shared" si="11"/>
        <v>287</v>
      </c>
      <c r="W29">
        <f t="shared" si="12"/>
        <v>7.7976111844067804</v>
      </c>
      <c r="Y29">
        <f t="shared" si="13"/>
        <v>27.015915613943111</v>
      </c>
    </row>
    <row r="30" spans="1:25" x14ac:dyDescent="0.25">
      <c r="A30" s="1">
        <v>28000</v>
      </c>
      <c r="B30" s="2">
        <v>529</v>
      </c>
      <c r="C30" s="2">
        <f t="shared" si="4"/>
        <v>19</v>
      </c>
      <c r="E30" s="4">
        <f t="shared" si="0"/>
        <v>0.15819209039548024</v>
      </c>
      <c r="F30">
        <f t="shared" si="1"/>
        <v>3.3789830508474576</v>
      </c>
      <c r="G30">
        <f t="shared" si="2"/>
        <v>535.33735322033897</v>
      </c>
      <c r="H30">
        <f t="shared" si="3"/>
        <v>0.53533735322033893</v>
      </c>
      <c r="I30" s="2">
        <f t="shared" si="5"/>
        <v>51</v>
      </c>
      <c r="K30">
        <f t="shared" si="6"/>
        <v>1.4369581586440678</v>
      </c>
      <c r="L30" s="2">
        <f t="shared" si="7"/>
        <v>100</v>
      </c>
      <c r="M30">
        <f t="shared" si="8"/>
        <v>2.817565016949152</v>
      </c>
      <c r="O30" s="2">
        <f t="shared" si="9"/>
        <v>165</v>
      </c>
      <c r="P30">
        <f t="shared" si="10"/>
        <v>4.6489822779661019</v>
      </c>
      <c r="R30" s="2">
        <f t="shared" si="14"/>
        <v>427</v>
      </c>
      <c r="S30">
        <f t="shared" si="15"/>
        <v>12.031002622372881</v>
      </c>
      <c r="T30">
        <f t="shared" si="16"/>
        <v>41.683092925577988</v>
      </c>
      <c r="V30" s="2">
        <f t="shared" si="11"/>
        <v>282</v>
      </c>
      <c r="W30">
        <f t="shared" si="12"/>
        <v>7.9455333477966095</v>
      </c>
      <c r="Y30">
        <f t="shared" si="13"/>
        <v>27.528412658110046</v>
      </c>
    </row>
    <row r="31" spans="1:25" x14ac:dyDescent="0.25">
      <c r="A31" s="1">
        <v>29000</v>
      </c>
      <c r="B31" s="2">
        <v>511</v>
      </c>
      <c r="C31" s="2">
        <f t="shared" si="4"/>
        <v>18</v>
      </c>
      <c r="E31" s="4">
        <f t="shared" si="0"/>
        <v>0.16384180790960451</v>
      </c>
      <c r="F31">
        <f t="shared" si="1"/>
        <v>3.4996610169491524</v>
      </c>
      <c r="G31">
        <f t="shared" si="2"/>
        <v>525.27462101694914</v>
      </c>
      <c r="H31">
        <f t="shared" si="3"/>
        <v>0.52527462101694911</v>
      </c>
      <c r="I31" s="2">
        <f t="shared" si="5"/>
        <v>48</v>
      </c>
      <c r="K31">
        <f t="shared" si="6"/>
        <v>1.4007323227118642</v>
      </c>
      <c r="L31" s="2">
        <f t="shared" si="7"/>
        <v>96</v>
      </c>
      <c r="M31">
        <f t="shared" si="8"/>
        <v>2.8014646454237289</v>
      </c>
      <c r="O31" s="2">
        <f t="shared" si="9"/>
        <v>145</v>
      </c>
      <c r="P31">
        <f t="shared" si="10"/>
        <v>4.2313788915254236</v>
      </c>
      <c r="R31" s="2">
        <f t="shared" si="14"/>
        <v>396</v>
      </c>
      <c r="S31">
        <f t="shared" si="15"/>
        <v>11.556041662372882</v>
      </c>
      <c r="T31">
        <f t="shared" si="16"/>
        <v>40.037524185123587</v>
      </c>
      <c r="V31" s="2">
        <f t="shared" si="11"/>
        <v>256</v>
      </c>
      <c r="W31">
        <f t="shared" si="12"/>
        <v>7.4705723877966097</v>
      </c>
      <c r="Y31">
        <f t="shared" si="13"/>
        <v>25.882843917655649</v>
      </c>
    </row>
    <row r="32" spans="1:25" x14ac:dyDescent="0.25">
      <c r="A32" s="1">
        <v>30000</v>
      </c>
      <c r="B32" s="2">
        <v>486</v>
      </c>
      <c r="C32" s="2">
        <f t="shared" si="4"/>
        <v>25</v>
      </c>
      <c r="E32" s="4">
        <f t="shared" si="0"/>
        <v>0.16949152542372881</v>
      </c>
      <c r="F32">
        <f t="shared" si="1"/>
        <v>3.6203389830508472</v>
      </c>
      <c r="G32">
        <f t="shared" si="2"/>
        <v>754.70491525423733</v>
      </c>
      <c r="H32">
        <f t="shared" si="3"/>
        <v>0.75470491525423733</v>
      </c>
      <c r="I32" s="2">
        <f t="shared" si="5"/>
        <v>62</v>
      </c>
      <c r="K32">
        <f t="shared" si="6"/>
        <v>1.8716681898305081</v>
      </c>
      <c r="L32" s="2">
        <f t="shared" si="7"/>
        <v>102</v>
      </c>
      <c r="M32">
        <f t="shared" si="8"/>
        <v>3.079196054237288</v>
      </c>
      <c r="O32" s="2">
        <f t="shared" si="9"/>
        <v>143</v>
      </c>
      <c r="P32">
        <f t="shared" si="10"/>
        <v>4.3169121152542367</v>
      </c>
      <c r="R32" s="2">
        <f t="shared" si="14"/>
        <v>383</v>
      </c>
      <c r="S32">
        <f t="shared" si="15"/>
        <v>11.562079301694913</v>
      </c>
      <c r="T32">
        <f t="shared" si="16"/>
        <v>40.058442431824268</v>
      </c>
      <c r="V32" s="2">
        <f t="shared" si="11"/>
        <v>261</v>
      </c>
      <c r="W32">
        <f t="shared" si="12"/>
        <v>7.8791193152542354</v>
      </c>
      <c r="Y32">
        <f t="shared" si="13"/>
        <v>27.298311944402439</v>
      </c>
    </row>
    <row r="33" spans="1:25" x14ac:dyDescent="0.25">
      <c r="A33" s="1">
        <v>31000</v>
      </c>
      <c r="B33" s="2">
        <v>473</v>
      </c>
      <c r="C33" s="2">
        <f t="shared" si="4"/>
        <v>13</v>
      </c>
      <c r="E33" s="4">
        <f t="shared" si="0"/>
        <v>0.1751412429378531</v>
      </c>
      <c r="F33">
        <f t="shared" si="1"/>
        <v>3.741016949152542</v>
      </c>
      <c r="G33">
        <f t="shared" si="2"/>
        <v>405.52810779661019</v>
      </c>
      <c r="H33">
        <f t="shared" si="3"/>
        <v>0.40552810779661019</v>
      </c>
      <c r="I33" s="2">
        <f t="shared" si="5"/>
        <v>56</v>
      </c>
      <c r="K33">
        <f t="shared" si="6"/>
        <v>1.7468903105084745</v>
      </c>
      <c r="L33" s="2">
        <f t="shared" si="7"/>
        <v>112</v>
      </c>
      <c r="M33">
        <f t="shared" si="8"/>
        <v>3.4937806210169491</v>
      </c>
      <c r="O33" s="2">
        <f t="shared" si="9"/>
        <v>134</v>
      </c>
      <c r="P33">
        <f t="shared" si="10"/>
        <v>4.1800589572881357</v>
      </c>
      <c r="R33" s="2">
        <f t="shared" si="14"/>
        <v>370</v>
      </c>
      <c r="S33">
        <f t="shared" si="15"/>
        <v>11.541953837288135</v>
      </c>
      <c r="T33">
        <f t="shared" si="16"/>
        <v>39.988714942821971</v>
      </c>
      <c r="V33" s="2">
        <f t="shared" si="11"/>
        <v>258</v>
      </c>
      <c r="W33">
        <f t="shared" si="12"/>
        <v>8.0481732162711861</v>
      </c>
      <c r="Y33">
        <f t="shared" si="13"/>
        <v>27.884022852021804</v>
      </c>
    </row>
    <row r="34" spans="1:25" x14ac:dyDescent="0.25">
      <c r="A34" s="1">
        <v>32000</v>
      </c>
      <c r="B34" s="2">
        <v>462</v>
      </c>
      <c r="C34" s="2">
        <f t="shared" si="4"/>
        <v>11</v>
      </c>
      <c r="E34" s="4">
        <f t="shared" si="0"/>
        <v>0.1807909604519774</v>
      </c>
      <c r="F34">
        <f t="shared" si="1"/>
        <v>3.8616949152542372</v>
      </c>
      <c r="G34">
        <f t="shared" si="2"/>
        <v>354.20817355932201</v>
      </c>
      <c r="H34">
        <f t="shared" si="3"/>
        <v>0.35420817355932199</v>
      </c>
      <c r="I34" s="2">
        <f t="shared" si="5"/>
        <v>49</v>
      </c>
      <c r="K34">
        <f t="shared" si="6"/>
        <v>1.5778364094915254</v>
      </c>
      <c r="L34" s="2">
        <f t="shared" si="7"/>
        <v>118</v>
      </c>
      <c r="M34">
        <f t="shared" si="8"/>
        <v>3.7996876800000008</v>
      </c>
      <c r="O34" s="2">
        <f t="shared" si="9"/>
        <v>126</v>
      </c>
      <c r="P34">
        <f t="shared" si="10"/>
        <v>4.0572936244067801</v>
      </c>
      <c r="R34" s="2">
        <f t="shared" si="14"/>
        <v>373</v>
      </c>
      <c r="S34">
        <f t="shared" si="15"/>
        <v>12.010877157966101</v>
      </c>
      <c r="T34">
        <f t="shared" si="16"/>
        <v>41.613365436575677</v>
      </c>
      <c r="V34" s="2">
        <f t="shared" si="11"/>
        <v>250</v>
      </c>
      <c r="W34">
        <f t="shared" si="12"/>
        <v>8.050185762711866</v>
      </c>
      <c r="Y34">
        <f t="shared" si="13"/>
        <v>27.890995600922039</v>
      </c>
    </row>
    <row r="35" spans="1:25" x14ac:dyDescent="0.25">
      <c r="A35" s="1">
        <v>33000</v>
      </c>
      <c r="B35" s="2">
        <v>451</v>
      </c>
      <c r="C35" s="2">
        <f t="shared" si="4"/>
        <v>11</v>
      </c>
      <c r="E35" s="4">
        <f t="shared" si="0"/>
        <v>0.1864406779661017</v>
      </c>
      <c r="F35">
        <f t="shared" si="1"/>
        <v>3.982372881355932</v>
      </c>
      <c r="G35">
        <f t="shared" si="2"/>
        <v>365.27717898305087</v>
      </c>
      <c r="H35">
        <f t="shared" si="3"/>
        <v>0.3652771789830509</v>
      </c>
      <c r="I35" s="2">
        <f t="shared" si="5"/>
        <v>35</v>
      </c>
      <c r="K35">
        <f t="shared" si="6"/>
        <v>1.1622455694915255</v>
      </c>
      <c r="L35" s="2">
        <f t="shared" si="7"/>
        <v>108</v>
      </c>
      <c r="M35">
        <f t="shared" si="8"/>
        <v>3.5863577572881353</v>
      </c>
      <c r="O35" s="2">
        <f t="shared" si="9"/>
        <v>134</v>
      </c>
      <c r="P35">
        <f t="shared" si="10"/>
        <v>4.4497401803389822</v>
      </c>
      <c r="R35" s="2">
        <f t="shared" si="14"/>
        <v>360</v>
      </c>
      <c r="S35">
        <f t="shared" si="15"/>
        <v>11.954525857627118</v>
      </c>
      <c r="T35">
        <f t="shared" si="16"/>
        <v>41.418128467369222</v>
      </c>
      <c r="V35" s="2">
        <f t="shared" si="11"/>
        <v>243</v>
      </c>
      <c r="W35">
        <f t="shared" si="12"/>
        <v>8.0693049538983033</v>
      </c>
      <c r="Y35">
        <f t="shared" si="13"/>
        <v>27.95723671547422</v>
      </c>
    </row>
    <row r="36" spans="1:25" x14ac:dyDescent="0.25">
      <c r="A36" s="1">
        <v>34000</v>
      </c>
      <c r="B36" s="2">
        <v>447</v>
      </c>
      <c r="C36" s="2">
        <f t="shared" si="4"/>
        <v>4</v>
      </c>
      <c r="E36" s="4">
        <f t="shared" si="0"/>
        <v>0.19209039548022599</v>
      </c>
      <c r="F36">
        <f t="shared" si="1"/>
        <v>4.1030508474576273</v>
      </c>
      <c r="G36">
        <f t="shared" si="2"/>
        <v>136.85315796610169</v>
      </c>
      <c r="H36">
        <f t="shared" si="3"/>
        <v>0.1368531579661017</v>
      </c>
      <c r="I36" s="2">
        <f t="shared" si="5"/>
        <v>26</v>
      </c>
      <c r="K36">
        <f t="shared" si="6"/>
        <v>0.88954552677966103</v>
      </c>
      <c r="L36" s="2">
        <f t="shared" si="7"/>
        <v>101</v>
      </c>
      <c r="M36">
        <f t="shared" si="8"/>
        <v>3.4555422386440675</v>
      </c>
      <c r="O36" s="2">
        <f t="shared" si="9"/>
        <v>133</v>
      </c>
      <c r="P36">
        <f t="shared" si="10"/>
        <v>4.5503675023728816</v>
      </c>
      <c r="R36" s="5">
        <f t="shared" si="14"/>
        <v>320</v>
      </c>
      <c r="S36" s="3">
        <f t="shared" si="15"/>
        <v>10.948252637288137</v>
      </c>
      <c r="T36" s="3">
        <f t="shared" si="16"/>
        <v>37.931754017253972</v>
      </c>
      <c r="V36" s="2">
        <f t="shared" si="11"/>
        <v>209</v>
      </c>
      <c r="W36">
        <f t="shared" si="12"/>
        <v>7.1505775037288126</v>
      </c>
      <c r="Y36">
        <f t="shared" si="13"/>
        <v>24.774176842518994</v>
      </c>
    </row>
    <row r="37" spans="1:25" x14ac:dyDescent="0.25">
      <c r="A37" s="1">
        <v>35000</v>
      </c>
      <c r="B37" s="2">
        <v>452</v>
      </c>
      <c r="C37" s="5">
        <f>(B36-B38)/2</f>
        <v>6.5</v>
      </c>
      <c r="E37" s="4">
        <f t="shared" si="0"/>
        <v>0.19774011299435029</v>
      </c>
      <c r="F37">
        <f t="shared" si="1"/>
        <v>4.2237288135593225</v>
      </c>
      <c r="G37">
        <f t="shared" si="2"/>
        <v>228.9271576271187</v>
      </c>
      <c r="H37">
        <f t="shared" si="3"/>
        <v>0.22892715762711871</v>
      </c>
      <c r="I37" s="2">
        <f t="shared" si="5"/>
        <v>10</v>
      </c>
      <c r="K37">
        <f t="shared" si="6"/>
        <v>0.35219562711864405</v>
      </c>
      <c r="L37" s="2">
        <f t="shared" si="7"/>
        <v>77</v>
      </c>
      <c r="M37">
        <f t="shared" si="8"/>
        <v>2.7119063288135599</v>
      </c>
      <c r="O37" s="2">
        <f t="shared" si="9"/>
        <v>107</v>
      </c>
      <c r="P37">
        <f t="shared" si="10"/>
        <v>3.7684932101694923</v>
      </c>
      <c r="R37" s="2">
        <f t="shared" si="14"/>
        <v>295</v>
      </c>
      <c r="S37">
        <f t="shared" si="15"/>
        <v>10.389771000000001</v>
      </c>
      <c r="T37">
        <f t="shared" si="16"/>
        <v>35.996816197440005</v>
      </c>
      <c r="V37" s="2">
        <f t="shared" si="11"/>
        <v>177</v>
      </c>
      <c r="W37">
        <f t="shared" si="12"/>
        <v>6.2338626000000001</v>
      </c>
      <c r="Y37">
        <f t="shared" si="13"/>
        <v>21.598089718464003</v>
      </c>
    </row>
    <row r="38" spans="1:25" x14ac:dyDescent="0.25">
      <c r="A38" s="1">
        <v>36000</v>
      </c>
      <c r="B38" s="2">
        <v>434</v>
      </c>
      <c r="C38" s="2">
        <f t="shared" si="4"/>
        <v>18</v>
      </c>
      <c r="E38" s="4">
        <f t="shared" si="0"/>
        <v>0.20338983050847459</v>
      </c>
      <c r="F38">
        <f t="shared" si="1"/>
        <v>4.3444067796610168</v>
      </c>
      <c r="G38">
        <f t="shared" si="2"/>
        <v>652.06504677966109</v>
      </c>
      <c r="H38">
        <f t="shared" si="3"/>
        <v>0.65206504677966104</v>
      </c>
      <c r="I38" s="2">
        <f t="shared" si="5"/>
        <v>17</v>
      </c>
      <c r="K38">
        <f t="shared" si="6"/>
        <v>0.61583921084745763</v>
      </c>
      <c r="L38" s="2">
        <f t="shared" si="7"/>
        <v>77</v>
      </c>
      <c r="M38">
        <f t="shared" si="8"/>
        <v>2.7893893667796608</v>
      </c>
      <c r="O38" s="2">
        <f t="shared" si="9"/>
        <v>114</v>
      </c>
      <c r="P38">
        <f t="shared" si="10"/>
        <v>4.129745296271186</v>
      </c>
      <c r="R38" s="2">
        <f t="shared" si="14"/>
        <v>297</v>
      </c>
      <c r="S38">
        <f t="shared" si="15"/>
        <v>10.759073271864407</v>
      </c>
      <c r="T38">
        <f t="shared" si="16"/>
        <v>37.276315620632303</v>
      </c>
      <c r="V38" s="2">
        <f t="shared" si="11"/>
        <v>173</v>
      </c>
      <c r="W38">
        <f t="shared" si="12"/>
        <v>6.2670696162711854</v>
      </c>
      <c r="Y38">
        <f t="shared" si="13"/>
        <v>21.713140075317803</v>
      </c>
    </row>
    <row r="39" spans="1:25" x14ac:dyDescent="0.25">
      <c r="A39" s="1">
        <v>37000</v>
      </c>
      <c r="B39" s="2">
        <v>420</v>
      </c>
      <c r="C39" s="2">
        <f t="shared" si="4"/>
        <v>14</v>
      </c>
      <c r="E39" s="4">
        <f t="shared" si="0"/>
        <v>0.20903954802259886</v>
      </c>
      <c r="F39">
        <f t="shared" si="1"/>
        <v>4.4650847457627112</v>
      </c>
      <c r="G39">
        <f t="shared" si="2"/>
        <v>521.24952813559321</v>
      </c>
      <c r="H39">
        <f t="shared" si="3"/>
        <v>0.52124952813559322</v>
      </c>
      <c r="I39" s="2">
        <f t="shared" si="5"/>
        <v>27</v>
      </c>
      <c r="K39">
        <f t="shared" si="6"/>
        <v>1.0052669471186439</v>
      </c>
      <c r="L39" s="2">
        <f t="shared" si="7"/>
        <v>66</v>
      </c>
      <c r="M39">
        <f t="shared" si="8"/>
        <v>2.4573192040677965</v>
      </c>
      <c r="O39" s="2">
        <f t="shared" si="9"/>
        <v>109</v>
      </c>
      <c r="P39">
        <f t="shared" si="10"/>
        <v>4.0582998976271183</v>
      </c>
      <c r="R39" s="5">
        <f>B20-B39</f>
        <v>292</v>
      </c>
      <c r="S39" s="3">
        <f t="shared" si="15"/>
        <v>10.87177587254237</v>
      </c>
      <c r="T39" s="3">
        <f t="shared" si="16"/>
        <v>37.666789559045192</v>
      </c>
      <c r="V39" s="2">
        <f t="shared" si="11"/>
        <v>168</v>
      </c>
      <c r="W39">
        <f t="shared" si="12"/>
        <v>6.2549943376271173</v>
      </c>
      <c r="Y39">
        <f t="shared" si="13"/>
        <v>21.671303581916419</v>
      </c>
    </row>
    <row r="40" spans="1:25" x14ac:dyDescent="0.25">
      <c r="A40" s="1">
        <v>38000</v>
      </c>
      <c r="B40" s="2">
        <v>412</v>
      </c>
      <c r="C40" s="2">
        <f t="shared" si="4"/>
        <v>8</v>
      </c>
      <c r="E40" s="4">
        <f t="shared" si="0"/>
        <v>0.21468926553672316</v>
      </c>
      <c r="F40">
        <f t="shared" si="1"/>
        <v>4.5857627118644064</v>
      </c>
      <c r="G40">
        <f t="shared" si="2"/>
        <v>305.90705898305089</v>
      </c>
      <c r="H40">
        <f t="shared" si="3"/>
        <v>0.30590705898305087</v>
      </c>
      <c r="I40" s="2">
        <f t="shared" si="5"/>
        <v>40</v>
      </c>
      <c r="K40">
        <f t="shared" si="6"/>
        <v>1.5295352949152541</v>
      </c>
      <c r="L40" s="2">
        <f t="shared" si="7"/>
        <v>61</v>
      </c>
      <c r="M40">
        <f t="shared" si="8"/>
        <v>2.3325413247457627</v>
      </c>
      <c r="O40" s="2">
        <f t="shared" si="9"/>
        <v>99</v>
      </c>
      <c r="P40">
        <f t="shared" si="10"/>
        <v>3.7855998549152541</v>
      </c>
      <c r="R40" s="5">
        <f t="shared" si="14"/>
        <v>282</v>
      </c>
      <c r="S40" s="3">
        <f t="shared" si="15"/>
        <v>10.783223829152544</v>
      </c>
      <c r="T40" s="3">
        <f t="shared" si="16"/>
        <v>37.359988607435071</v>
      </c>
      <c r="V40" s="2">
        <f t="shared" si="11"/>
        <v>173</v>
      </c>
      <c r="W40">
        <f t="shared" si="12"/>
        <v>6.6152401505084741</v>
      </c>
      <c r="Y40">
        <f t="shared" si="13"/>
        <v>22.919425635057685</v>
      </c>
    </row>
    <row r="41" spans="1:25" x14ac:dyDescent="0.25">
      <c r="A41" s="1">
        <v>39000</v>
      </c>
      <c r="B41" s="2">
        <v>393</v>
      </c>
      <c r="C41" s="2">
        <f t="shared" si="4"/>
        <v>19</v>
      </c>
      <c r="E41" s="4">
        <f t="shared" si="0"/>
        <v>0.22033898305084745</v>
      </c>
      <c r="F41">
        <f t="shared" si="1"/>
        <v>4.7064406779661017</v>
      </c>
      <c r="G41">
        <f t="shared" si="2"/>
        <v>745.64845627118632</v>
      </c>
      <c r="H41">
        <f t="shared" si="3"/>
        <v>0.74564845627118637</v>
      </c>
      <c r="I41" s="2">
        <f t="shared" si="5"/>
        <v>41</v>
      </c>
      <c r="K41">
        <f t="shared" si="6"/>
        <v>1.6090308793220338</v>
      </c>
      <c r="L41" s="2">
        <f t="shared" si="7"/>
        <v>69</v>
      </c>
      <c r="M41">
        <f t="shared" si="8"/>
        <v>2.7078812359322035</v>
      </c>
      <c r="O41" s="2">
        <f t="shared" si="9"/>
        <v>93</v>
      </c>
      <c r="P41">
        <f t="shared" si="10"/>
        <v>3.6497529701694917</v>
      </c>
      <c r="R41" s="2">
        <f t="shared" si="14"/>
        <v>263</v>
      </c>
      <c r="S41">
        <f t="shared" si="15"/>
        <v>10.321344421016951</v>
      </c>
      <c r="T41">
        <f t="shared" si="16"/>
        <v>35.759742734832166</v>
      </c>
      <c r="V41" s="2">
        <f t="shared" si="11"/>
        <v>187</v>
      </c>
      <c r="W41">
        <f t="shared" si="12"/>
        <v>7.3387505959322032</v>
      </c>
      <c r="Y41">
        <f t="shared" si="13"/>
        <v>25.426128864690547</v>
      </c>
    </row>
    <row r="42" spans="1:25" x14ac:dyDescent="0.25">
      <c r="A42" s="1">
        <v>40000</v>
      </c>
      <c r="B42" s="2">
        <v>374</v>
      </c>
      <c r="C42" s="2">
        <f t="shared" si="4"/>
        <v>19</v>
      </c>
      <c r="E42" s="4">
        <f t="shared" si="0"/>
        <v>0.22598870056497175</v>
      </c>
      <c r="F42">
        <f t="shared" si="1"/>
        <v>4.8271186440677969</v>
      </c>
      <c r="G42">
        <f t="shared" si="2"/>
        <v>764.76764745762716</v>
      </c>
      <c r="H42">
        <f t="shared" si="3"/>
        <v>0.76476764745762715</v>
      </c>
      <c r="I42" s="2">
        <f t="shared" si="5"/>
        <v>46</v>
      </c>
      <c r="K42">
        <f t="shared" si="6"/>
        <v>1.8515427254237289</v>
      </c>
      <c r="L42" s="2">
        <f t="shared" si="7"/>
        <v>77</v>
      </c>
      <c r="M42">
        <f t="shared" si="8"/>
        <v>3.0993215186440679</v>
      </c>
      <c r="O42" s="2">
        <f t="shared" si="9"/>
        <v>99</v>
      </c>
      <c r="P42">
        <f t="shared" si="10"/>
        <v>3.9848419525423733</v>
      </c>
      <c r="R42" s="2">
        <f t="shared" si="14"/>
        <v>255</v>
      </c>
      <c r="S42">
        <f t="shared" si="15"/>
        <v>10.263986847457629</v>
      </c>
      <c r="T42">
        <f t="shared" si="16"/>
        <v>35.561019391175599</v>
      </c>
      <c r="V42" s="2">
        <f t="shared" si="11"/>
        <v>185</v>
      </c>
      <c r="W42">
        <f t="shared" si="12"/>
        <v>7.4464218305084753</v>
      </c>
      <c r="Y42">
        <f t="shared" si="13"/>
        <v>25.799170930852885</v>
      </c>
    </row>
    <row r="43" spans="1:25" x14ac:dyDescent="0.25">
      <c r="A43" s="1">
        <v>41000</v>
      </c>
      <c r="B43" s="2">
        <v>367</v>
      </c>
      <c r="C43" s="2">
        <f t="shared" si="4"/>
        <v>7</v>
      </c>
      <c r="E43" s="4">
        <f t="shared" si="0"/>
        <v>0.23163841807909605</v>
      </c>
      <c r="F43">
        <f t="shared" si="1"/>
        <v>4.9477966101694912</v>
      </c>
      <c r="G43">
        <f t="shared" si="2"/>
        <v>288.80041423728812</v>
      </c>
      <c r="H43">
        <f t="shared" si="3"/>
        <v>0.28880041423728814</v>
      </c>
      <c r="I43" s="2">
        <f t="shared" si="5"/>
        <v>45</v>
      </c>
      <c r="K43">
        <f t="shared" si="6"/>
        <v>1.8565740915254234</v>
      </c>
      <c r="L43" s="2">
        <f t="shared" si="7"/>
        <v>80</v>
      </c>
      <c r="M43">
        <f t="shared" si="8"/>
        <v>3.3005761627118644</v>
      </c>
      <c r="O43" s="2">
        <f t="shared" si="9"/>
        <v>95</v>
      </c>
      <c r="P43">
        <f t="shared" si="10"/>
        <v>3.9194341932203387</v>
      </c>
      <c r="R43" s="2">
        <f t="shared" si="14"/>
        <v>240</v>
      </c>
      <c r="S43">
        <f t="shared" si="15"/>
        <v>9.9017284881355927</v>
      </c>
      <c r="T43">
        <f t="shared" si="16"/>
        <v>34.305924589134108</v>
      </c>
      <c r="V43" s="2">
        <f t="shared" si="11"/>
        <v>181</v>
      </c>
      <c r="W43">
        <f t="shared" si="12"/>
        <v>7.4675535681355925</v>
      </c>
      <c r="Y43">
        <f t="shared" si="13"/>
        <v>25.872384794305301</v>
      </c>
    </row>
    <row r="44" spans="1:25" x14ac:dyDescent="0.25">
      <c r="A44" s="1">
        <v>42000</v>
      </c>
      <c r="B44" s="2">
        <v>353</v>
      </c>
      <c r="C44" s="2">
        <f t="shared" si="4"/>
        <v>14</v>
      </c>
      <c r="E44" s="4">
        <f t="shared" si="0"/>
        <v>0.23728813559322035</v>
      </c>
      <c r="F44">
        <f t="shared" si="1"/>
        <v>5.0684745762711865</v>
      </c>
      <c r="G44">
        <f t="shared" si="2"/>
        <v>591.68865355932212</v>
      </c>
      <c r="H44">
        <f t="shared" si="3"/>
        <v>0.5916886535593221</v>
      </c>
      <c r="I44" s="2">
        <f t="shared" si="5"/>
        <v>40</v>
      </c>
      <c r="K44">
        <f t="shared" si="6"/>
        <v>1.6905390101694917</v>
      </c>
      <c r="L44" s="2">
        <f t="shared" si="7"/>
        <v>99</v>
      </c>
      <c r="M44">
        <f t="shared" si="8"/>
        <v>4.184084050169492</v>
      </c>
      <c r="O44" s="2">
        <f t="shared" si="9"/>
        <v>98</v>
      </c>
      <c r="P44">
        <f t="shared" si="10"/>
        <v>4.1418205749152541</v>
      </c>
      <c r="R44" s="2">
        <f t="shared" si="14"/>
        <v>235</v>
      </c>
      <c r="S44">
        <f t="shared" si="15"/>
        <v>9.9319166847457652</v>
      </c>
      <c r="T44">
        <f t="shared" si="16"/>
        <v>34.410515822637571</v>
      </c>
      <c r="V44" s="2">
        <f t="shared" si="11"/>
        <v>176</v>
      </c>
      <c r="W44">
        <f t="shared" si="12"/>
        <v>7.4383716447457635</v>
      </c>
      <c r="Y44">
        <f t="shared" si="13"/>
        <v>25.771279935251961</v>
      </c>
    </row>
    <row r="45" spans="1:25" x14ac:dyDescent="0.25">
      <c r="A45" s="1">
        <v>43000</v>
      </c>
      <c r="B45" s="2">
        <v>344</v>
      </c>
      <c r="C45" s="2">
        <f t="shared" si="4"/>
        <v>9</v>
      </c>
      <c r="E45" s="4">
        <f t="shared" si="0"/>
        <v>0.24293785310734464</v>
      </c>
      <c r="F45">
        <f t="shared" si="1"/>
        <v>5.1891525423728817</v>
      </c>
      <c r="G45">
        <f t="shared" si="2"/>
        <v>389.42773627118652</v>
      </c>
      <c r="H45">
        <f t="shared" si="3"/>
        <v>0.38942773627118654</v>
      </c>
      <c r="I45" s="2">
        <f t="shared" si="5"/>
        <v>30</v>
      </c>
      <c r="K45">
        <f t="shared" si="6"/>
        <v>1.2980924542372883</v>
      </c>
      <c r="L45" s="2">
        <f t="shared" si="7"/>
        <v>90</v>
      </c>
      <c r="M45">
        <f t="shared" si="8"/>
        <v>3.8942773627118643</v>
      </c>
      <c r="O45" s="2">
        <f t="shared" si="9"/>
        <v>103</v>
      </c>
      <c r="P45">
        <f t="shared" si="10"/>
        <v>4.4567840928813567</v>
      </c>
      <c r="R45" s="2">
        <f t="shared" si="14"/>
        <v>241</v>
      </c>
      <c r="S45">
        <f t="shared" si="15"/>
        <v>10.428009382372883</v>
      </c>
      <c r="T45">
        <f t="shared" si="16"/>
        <v>36.129298426544388</v>
      </c>
      <c r="V45" s="2">
        <f t="shared" si="11"/>
        <v>167</v>
      </c>
      <c r="W45">
        <f t="shared" si="12"/>
        <v>7.2260479952542385</v>
      </c>
      <c r="Y45">
        <f t="shared" si="13"/>
        <v>25.035654926277648</v>
      </c>
    </row>
    <row r="46" spans="1:25" x14ac:dyDescent="0.25">
      <c r="A46" s="1">
        <v>44000</v>
      </c>
      <c r="B46" s="2">
        <v>327</v>
      </c>
      <c r="C46" s="2">
        <f t="shared" si="4"/>
        <v>17</v>
      </c>
      <c r="E46" s="4">
        <f t="shared" si="0"/>
        <v>0.24858757062146894</v>
      </c>
      <c r="F46">
        <f t="shared" si="1"/>
        <v>5.309830508474576</v>
      </c>
      <c r="G46">
        <f t="shared" si="2"/>
        <v>752.69236881355937</v>
      </c>
      <c r="H46">
        <f t="shared" si="3"/>
        <v>0.75269236881355939</v>
      </c>
      <c r="I46" s="2">
        <f t="shared" si="5"/>
        <v>40</v>
      </c>
      <c r="K46">
        <f t="shared" si="6"/>
        <v>1.7710408677966101</v>
      </c>
      <c r="L46" s="2">
        <f t="shared" si="7"/>
        <v>93</v>
      </c>
      <c r="M46">
        <f t="shared" si="8"/>
        <v>4.1176700176271179</v>
      </c>
      <c r="O46" s="2">
        <f t="shared" si="9"/>
        <v>125</v>
      </c>
      <c r="P46">
        <f t="shared" si="10"/>
        <v>5.5345027118644063</v>
      </c>
      <c r="R46" s="2">
        <f t="shared" si="14"/>
        <v>253</v>
      </c>
      <c r="S46">
        <f t="shared" si="15"/>
        <v>11.201833488813559</v>
      </c>
      <c r="T46">
        <f t="shared" si="16"/>
        <v>38.810320378683009</v>
      </c>
      <c r="V46" s="2">
        <f t="shared" si="11"/>
        <v>159</v>
      </c>
      <c r="W46">
        <f t="shared" si="12"/>
        <v>7.0398874494915251</v>
      </c>
      <c r="Y46">
        <f t="shared" si="13"/>
        <v>24.390675653006323</v>
      </c>
    </row>
    <row r="47" spans="1:25" x14ac:dyDescent="0.25">
      <c r="A47" s="1">
        <v>45000</v>
      </c>
      <c r="B47" s="2">
        <v>319</v>
      </c>
      <c r="C47" s="2">
        <f t="shared" si="4"/>
        <v>8</v>
      </c>
      <c r="E47" s="4">
        <f t="shared" si="0"/>
        <v>0.25423728813559321</v>
      </c>
      <c r="F47">
        <f t="shared" si="1"/>
        <v>5.4305084745762704</v>
      </c>
      <c r="G47">
        <f t="shared" si="2"/>
        <v>362.25835932203387</v>
      </c>
      <c r="H47">
        <f t="shared" si="3"/>
        <v>0.36225835932203387</v>
      </c>
      <c r="I47" s="2">
        <f t="shared" si="5"/>
        <v>34</v>
      </c>
      <c r="K47">
        <f t="shared" si="6"/>
        <v>1.5395980271186438</v>
      </c>
      <c r="L47" s="2">
        <f t="shared" si="7"/>
        <v>93</v>
      </c>
      <c r="M47">
        <f t="shared" si="8"/>
        <v>4.2112534271186428</v>
      </c>
      <c r="O47" s="2">
        <f t="shared" si="9"/>
        <v>115</v>
      </c>
      <c r="P47">
        <f t="shared" si="10"/>
        <v>5.2074639152542366</v>
      </c>
      <c r="R47" s="2">
        <f t="shared" si="14"/>
        <v>240</v>
      </c>
      <c r="S47">
        <f t="shared" si="15"/>
        <v>10.867750779661014</v>
      </c>
      <c r="T47">
        <f t="shared" si="16"/>
        <v>37.652844061244735</v>
      </c>
      <c r="V47" s="2">
        <f t="shared" si="11"/>
        <v>154</v>
      </c>
      <c r="W47">
        <f t="shared" si="12"/>
        <v>6.973473416949151</v>
      </c>
      <c r="Y47">
        <f t="shared" si="13"/>
        <v>24.160574939298709</v>
      </c>
    </row>
    <row r="48" spans="1:25" x14ac:dyDescent="0.25">
      <c r="A48" s="1">
        <v>46000</v>
      </c>
      <c r="B48" s="2">
        <v>318</v>
      </c>
      <c r="C48" s="2">
        <f t="shared" si="4"/>
        <v>1</v>
      </c>
      <c r="E48" s="4">
        <f t="shared" si="0"/>
        <v>0.25988700564971751</v>
      </c>
      <c r="F48">
        <f t="shared" si="1"/>
        <v>5.5511864406779656</v>
      </c>
      <c r="G48">
        <f t="shared" si="2"/>
        <v>46.288568135593216</v>
      </c>
      <c r="H48">
        <f t="shared" si="3"/>
        <v>4.6288568135593219E-2</v>
      </c>
      <c r="I48" s="2">
        <f t="shared" si="5"/>
        <v>26</v>
      </c>
      <c r="K48">
        <f t="shared" si="6"/>
        <v>1.2035027715254238</v>
      </c>
      <c r="L48" s="2">
        <f t="shared" si="7"/>
        <v>75</v>
      </c>
      <c r="M48">
        <f t="shared" si="8"/>
        <v>3.4716426101694906</v>
      </c>
      <c r="O48" s="2">
        <f t="shared" si="9"/>
        <v>102</v>
      </c>
      <c r="P48">
        <f t="shared" si="10"/>
        <v>4.7214339498305078</v>
      </c>
      <c r="R48" s="2">
        <f t="shared" si="14"/>
        <v>230</v>
      </c>
      <c r="S48">
        <f t="shared" si="15"/>
        <v>10.646370671186439</v>
      </c>
      <c r="T48">
        <f t="shared" si="16"/>
        <v>36.885841682219386</v>
      </c>
      <c r="V48" s="2">
        <f t="shared" si="11"/>
        <v>144</v>
      </c>
      <c r="W48">
        <f t="shared" si="12"/>
        <v>6.6655538115254229</v>
      </c>
      <c r="Y48">
        <f t="shared" si="13"/>
        <v>23.093744357563441</v>
      </c>
    </row>
    <row r="49" spans="1:25" x14ac:dyDescent="0.25">
      <c r="A49" s="1">
        <v>47000</v>
      </c>
      <c r="B49" s="2">
        <v>305</v>
      </c>
      <c r="C49" s="2">
        <f t="shared" si="4"/>
        <v>13</v>
      </c>
      <c r="E49" s="4">
        <f t="shared" si="0"/>
        <v>0.2655367231638418</v>
      </c>
      <c r="F49">
        <f t="shared" si="1"/>
        <v>5.6718644067796609</v>
      </c>
      <c r="G49">
        <f t="shared" si="2"/>
        <v>614.83293762711867</v>
      </c>
      <c r="H49">
        <f t="shared" si="3"/>
        <v>0.61483293762711866</v>
      </c>
      <c r="I49" s="2">
        <f t="shared" si="5"/>
        <v>22</v>
      </c>
      <c r="K49">
        <f t="shared" si="6"/>
        <v>1.0404865098305083</v>
      </c>
      <c r="L49" s="2">
        <f t="shared" si="7"/>
        <v>69</v>
      </c>
      <c r="M49">
        <f t="shared" si="8"/>
        <v>3.2633440535593219</v>
      </c>
      <c r="O49" s="2">
        <f t="shared" si="9"/>
        <v>107</v>
      </c>
      <c r="P49">
        <f t="shared" si="10"/>
        <v>5.0605480250847448</v>
      </c>
      <c r="R49" s="2">
        <f t="shared" si="14"/>
        <v>224</v>
      </c>
      <c r="S49">
        <f t="shared" si="15"/>
        <v>10.594044463728814</v>
      </c>
      <c r="T49">
        <f t="shared" si="16"/>
        <v>36.704550210813402</v>
      </c>
      <c r="V49" s="2">
        <f t="shared" si="11"/>
        <v>146</v>
      </c>
      <c r="W49">
        <f t="shared" si="12"/>
        <v>6.9050468379661014</v>
      </c>
      <c r="Y49">
        <f t="shared" si="13"/>
        <v>23.923501476690877</v>
      </c>
    </row>
    <row r="50" spans="1:25" x14ac:dyDescent="0.25">
      <c r="A50" s="1">
        <v>48000</v>
      </c>
      <c r="B50" s="2">
        <v>296</v>
      </c>
      <c r="C50" s="2">
        <f t="shared" si="4"/>
        <v>9</v>
      </c>
      <c r="E50" s="4">
        <f t="shared" si="0"/>
        <v>0.2711864406779661</v>
      </c>
      <c r="F50">
        <f t="shared" si="1"/>
        <v>5.7925423728813561</v>
      </c>
      <c r="G50">
        <f t="shared" si="2"/>
        <v>434.71003118644074</v>
      </c>
      <c r="H50">
        <f t="shared" si="3"/>
        <v>0.43471003118644075</v>
      </c>
      <c r="I50" s="2">
        <f t="shared" si="5"/>
        <v>23</v>
      </c>
      <c r="K50">
        <f t="shared" si="6"/>
        <v>1.1109256352542374</v>
      </c>
      <c r="L50" s="2">
        <f t="shared" si="7"/>
        <v>71</v>
      </c>
      <c r="M50">
        <f t="shared" si="8"/>
        <v>3.429379134915254</v>
      </c>
      <c r="O50" s="2">
        <f t="shared" si="9"/>
        <v>97</v>
      </c>
      <c r="P50">
        <f t="shared" si="10"/>
        <v>4.6852081138983053</v>
      </c>
      <c r="R50" s="2">
        <f t="shared" si="14"/>
        <v>215</v>
      </c>
      <c r="S50">
        <f t="shared" si="15"/>
        <v>10.384739633898304</v>
      </c>
      <c r="T50">
        <f t="shared" si="16"/>
        <v>35.979384325189422</v>
      </c>
      <c r="V50" s="2">
        <f t="shared" si="11"/>
        <v>151</v>
      </c>
      <c r="W50">
        <f t="shared" si="12"/>
        <v>7.2934683010169481</v>
      </c>
      <c r="Y50">
        <f t="shared" si="13"/>
        <v>25.26924201443536</v>
      </c>
    </row>
    <row r="51" spans="1:25" x14ac:dyDescent="0.25">
      <c r="A51" s="1">
        <v>49000</v>
      </c>
      <c r="B51" s="2">
        <v>293</v>
      </c>
      <c r="C51" s="2">
        <f t="shared" si="4"/>
        <v>3</v>
      </c>
      <c r="E51" s="4">
        <f t="shared" si="0"/>
        <v>0.2768361581920904</v>
      </c>
      <c r="F51">
        <f t="shared" si="1"/>
        <v>5.9132203389830504</v>
      </c>
      <c r="G51">
        <f t="shared" si="2"/>
        <v>147.9221633898305</v>
      </c>
      <c r="H51">
        <f t="shared" si="3"/>
        <v>0.1479221633898305</v>
      </c>
      <c r="I51" s="2">
        <f t="shared" si="5"/>
        <v>25</v>
      </c>
      <c r="K51">
        <f t="shared" si="6"/>
        <v>1.2326846949152541</v>
      </c>
      <c r="L51" s="2">
        <f t="shared" si="7"/>
        <v>60</v>
      </c>
      <c r="M51">
        <f t="shared" si="8"/>
        <v>2.9584432677966102</v>
      </c>
      <c r="O51" s="2">
        <f t="shared" si="9"/>
        <v>81</v>
      </c>
      <c r="P51">
        <f t="shared" si="10"/>
        <v>3.9938984115254237</v>
      </c>
      <c r="R51" s="2">
        <f t="shared" si="14"/>
        <v>193</v>
      </c>
      <c r="S51">
        <f t="shared" si="15"/>
        <v>9.5163258447457633</v>
      </c>
      <c r="T51">
        <f t="shared" si="16"/>
        <v>32.970643174739969</v>
      </c>
      <c r="V51" s="2">
        <f t="shared" si="11"/>
        <v>159</v>
      </c>
      <c r="W51">
        <f t="shared" si="12"/>
        <v>7.8398746596610165</v>
      </c>
      <c r="Y51">
        <f t="shared" si="13"/>
        <v>27.162343340847947</v>
      </c>
    </row>
    <row r="52" spans="1:25" x14ac:dyDescent="0.25">
      <c r="A52" s="1">
        <v>50000</v>
      </c>
      <c r="B52" s="2">
        <v>282</v>
      </c>
      <c r="C52" s="2">
        <f t="shared" si="4"/>
        <v>11</v>
      </c>
      <c r="E52" s="4">
        <f t="shared" si="0"/>
        <v>0.2824858757062147</v>
      </c>
      <c r="F52">
        <f t="shared" si="1"/>
        <v>6.0338983050847457</v>
      </c>
      <c r="G52">
        <f t="shared" si="2"/>
        <v>553.45027118644055</v>
      </c>
      <c r="H52">
        <f t="shared" si="3"/>
        <v>0.55345027118644052</v>
      </c>
      <c r="I52" s="2">
        <f t="shared" si="5"/>
        <v>23</v>
      </c>
      <c r="K52">
        <f t="shared" si="6"/>
        <v>1.1572142033898305</v>
      </c>
      <c r="L52" s="2">
        <f t="shared" si="7"/>
        <v>62</v>
      </c>
      <c r="M52">
        <f t="shared" si="8"/>
        <v>3.1194469830508469</v>
      </c>
      <c r="O52" s="2">
        <f t="shared" si="9"/>
        <v>85</v>
      </c>
      <c r="P52">
        <f t="shared" si="10"/>
        <v>4.2766611864406787</v>
      </c>
      <c r="R52" s="2">
        <f t="shared" si="14"/>
        <v>191</v>
      </c>
      <c r="S52">
        <f t="shared" si="15"/>
        <v>9.6099092542372873</v>
      </c>
      <c r="T52">
        <f t="shared" si="16"/>
        <v>33.294875998600681</v>
      </c>
      <c r="V52" s="2">
        <f t="shared" si="11"/>
        <v>152</v>
      </c>
      <c r="W52">
        <f t="shared" si="12"/>
        <v>7.6476764745762704</v>
      </c>
      <c r="Y52">
        <f t="shared" si="13"/>
        <v>26.49644582087593</v>
      </c>
    </row>
    <row r="53" spans="1:25" x14ac:dyDescent="0.25">
      <c r="A53" s="1">
        <v>51000</v>
      </c>
      <c r="B53" s="2">
        <v>277</v>
      </c>
      <c r="C53" s="2">
        <f t="shared" si="4"/>
        <v>5</v>
      </c>
      <c r="E53" s="4">
        <f t="shared" si="0"/>
        <v>0.28813559322033899</v>
      </c>
      <c r="F53">
        <f t="shared" si="1"/>
        <v>6.1545762711864409</v>
      </c>
      <c r="G53">
        <f t="shared" si="2"/>
        <v>256.59967118644067</v>
      </c>
      <c r="H53">
        <f t="shared" si="3"/>
        <v>0.25659967118644067</v>
      </c>
      <c r="I53" s="2">
        <f t="shared" si="5"/>
        <v>19</v>
      </c>
      <c r="K53">
        <f t="shared" si="6"/>
        <v>0.97507875050847459</v>
      </c>
      <c r="L53" s="2">
        <f t="shared" si="7"/>
        <v>50</v>
      </c>
      <c r="M53">
        <f t="shared" si="8"/>
        <v>2.5659967118644071</v>
      </c>
      <c r="O53" s="2">
        <f t="shared" si="9"/>
        <v>76</v>
      </c>
      <c r="P53">
        <f t="shared" si="10"/>
        <v>3.9003150020338984</v>
      </c>
      <c r="R53" s="2">
        <f t="shared" si="14"/>
        <v>185</v>
      </c>
      <c r="S53">
        <f t="shared" si="15"/>
        <v>9.4941878338983035</v>
      </c>
      <c r="T53">
        <f t="shared" si="16"/>
        <v>32.893942936837419</v>
      </c>
      <c r="V53" s="2">
        <f t="shared" si="11"/>
        <v>143</v>
      </c>
      <c r="W53">
        <f t="shared" si="12"/>
        <v>7.3387505959322032</v>
      </c>
      <c r="Y53">
        <f t="shared" si="13"/>
        <v>25.426128864690547</v>
      </c>
    </row>
    <row r="54" spans="1:25" x14ac:dyDescent="0.25">
      <c r="A54" s="1">
        <v>52000</v>
      </c>
      <c r="B54" s="2">
        <v>272</v>
      </c>
      <c r="C54" s="2">
        <f t="shared" si="4"/>
        <v>5</v>
      </c>
      <c r="E54" s="4">
        <f t="shared" si="0"/>
        <v>0.29378531073446329</v>
      </c>
      <c r="F54">
        <f t="shared" si="1"/>
        <v>6.2752542372881361</v>
      </c>
      <c r="G54">
        <f t="shared" si="2"/>
        <v>261.63103728813564</v>
      </c>
      <c r="H54">
        <f t="shared" si="3"/>
        <v>0.26163103728813564</v>
      </c>
      <c r="I54" s="2">
        <f t="shared" si="5"/>
        <v>21</v>
      </c>
      <c r="K54">
        <f t="shared" si="6"/>
        <v>1.0988503566101697</v>
      </c>
      <c r="L54" s="2">
        <f t="shared" si="7"/>
        <v>47</v>
      </c>
      <c r="M54">
        <f t="shared" si="8"/>
        <v>2.4593317505084746</v>
      </c>
      <c r="O54" s="2">
        <f t="shared" si="9"/>
        <v>72</v>
      </c>
      <c r="P54">
        <f t="shared" si="10"/>
        <v>3.7674869369491524</v>
      </c>
      <c r="R54" s="2">
        <f t="shared" si="14"/>
        <v>179</v>
      </c>
      <c r="S54">
        <f t="shared" si="15"/>
        <v>9.3663911349152542</v>
      </c>
      <c r="T54">
        <f t="shared" si="16"/>
        <v>32.451173381672788</v>
      </c>
      <c r="V54" s="2">
        <f t="shared" si="11"/>
        <v>140</v>
      </c>
      <c r="W54">
        <f t="shared" si="12"/>
        <v>7.3256690440677961</v>
      </c>
      <c r="Y54">
        <f t="shared" si="13"/>
        <v>25.380805996839047</v>
      </c>
    </row>
    <row r="55" spans="1:25" x14ac:dyDescent="0.25">
      <c r="A55" s="1">
        <v>53000</v>
      </c>
      <c r="B55" s="2">
        <v>263</v>
      </c>
      <c r="C55" s="2">
        <f t="shared" si="4"/>
        <v>9</v>
      </c>
      <c r="E55" s="4">
        <f t="shared" si="0"/>
        <v>0.29943502824858759</v>
      </c>
      <c r="F55">
        <f t="shared" si="1"/>
        <v>6.3959322033898305</v>
      </c>
      <c r="G55">
        <f t="shared" si="2"/>
        <v>479.99232610169491</v>
      </c>
      <c r="H55">
        <f t="shared" si="3"/>
        <v>0.4799923261016949</v>
      </c>
      <c r="I55" s="2">
        <f t="shared" si="5"/>
        <v>19</v>
      </c>
      <c r="K55">
        <f t="shared" si="6"/>
        <v>1.0133171328813559</v>
      </c>
      <c r="L55" s="2">
        <f t="shared" si="7"/>
        <v>55</v>
      </c>
      <c r="M55">
        <f t="shared" si="8"/>
        <v>2.9332864372881353</v>
      </c>
      <c r="O55" s="2">
        <f t="shared" si="9"/>
        <v>64</v>
      </c>
      <c r="P55">
        <f t="shared" si="10"/>
        <v>3.4132787633898305</v>
      </c>
      <c r="R55" s="2">
        <f t="shared" si="14"/>
        <v>184</v>
      </c>
      <c r="S55">
        <f t="shared" si="15"/>
        <v>9.8131764447457623</v>
      </c>
      <c r="T55">
        <f t="shared" si="16"/>
        <v>33.999123637523958</v>
      </c>
      <c r="V55" s="2">
        <f t="shared" si="11"/>
        <v>130</v>
      </c>
      <c r="W55">
        <f t="shared" si="12"/>
        <v>6.9332224881355931</v>
      </c>
      <c r="Y55">
        <f t="shared" si="13"/>
        <v>24.021119961294104</v>
      </c>
    </row>
    <row r="56" spans="1:25" x14ac:dyDescent="0.25">
      <c r="A56" s="1">
        <v>54000</v>
      </c>
      <c r="B56" s="2">
        <v>260</v>
      </c>
      <c r="C56" s="2">
        <f t="shared" si="4"/>
        <v>3</v>
      </c>
      <c r="E56" s="4">
        <f t="shared" si="0"/>
        <v>0.30508474576271188</v>
      </c>
      <c r="F56">
        <f t="shared" si="1"/>
        <v>6.5166101694915257</v>
      </c>
      <c r="G56">
        <f t="shared" si="2"/>
        <v>163.01626169491527</v>
      </c>
      <c r="H56">
        <f t="shared" si="3"/>
        <v>0.16301626169491526</v>
      </c>
      <c r="I56" s="2">
        <f t="shared" si="5"/>
        <v>17</v>
      </c>
      <c r="K56">
        <f t="shared" si="6"/>
        <v>0.9237588162711865</v>
      </c>
      <c r="L56" s="2">
        <f t="shared" si="7"/>
        <v>45</v>
      </c>
      <c r="M56">
        <f t="shared" si="8"/>
        <v>2.4452439254237288</v>
      </c>
      <c r="O56" s="2">
        <f t="shared" si="9"/>
        <v>59</v>
      </c>
      <c r="P56">
        <f t="shared" si="10"/>
        <v>3.20598648</v>
      </c>
      <c r="R56" s="2">
        <f t="shared" si="14"/>
        <v>192</v>
      </c>
      <c r="S56">
        <f t="shared" si="15"/>
        <v>10.433040748474577</v>
      </c>
      <c r="T56">
        <f t="shared" si="16"/>
        <v>36.146730298794957</v>
      </c>
      <c r="V56" s="2">
        <f t="shared" si="11"/>
        <v>114</v>
      </c>
      <c r="W56">
        <f t="shared" si="12"/>
        <v>6.1946179444067804</v>
      </c>
      <c r="Y56">
        <f t="shared" si="13"/>
        <v>21.462121114909511</v>
      </c>
    </row>
    <row r="57" spans="1:25" x14ac:dyDescent="0.25">
      <c r="A57" s="1">
        <v>55000</v>
      </c>
      <c r="B57" s="2">
        <v>251</v>
      </c>
      <c r="C57" s="2">
        <f t="shared" si="4"/>
        <v>9</v>
      </c>
      <c r="E57" s="4">
        <f t="shared" si="0"/>
        <v>0.31073446327683618</v>
      </c>
      <c r="F57">
        <f t="shared" si="1"/>
        <v>6.637288135593221</v>
      </c>
      <c r="G57">
        <f t="shared" si="2"/>
        <v>498.1052440677966</v>
      </c>
      <c r="H57">
        <f t="shared" si="3"/>
        <v>0.4981052440677966</v>
      </c>
      <c r="I57" s="2">
        <f t="shared" si="5"/>
        <v>21</v>
      </c>
      <c r="K57">
        <f t="shared" si="6"/>
        <v>1.1622455694915257</v>
      </c>
      <c r="L57" s="2">
        <f t="shared" si="7"/>
        <v>45</v>
      </c>
      <c r="M57">
        <f t="shared" si="8"/>
        <v>2.4905262203389831</v>
      </c>
      <c r="O57" s="2">
        <f t="shared" si="9"/>
        <v>67</v>
      </c>
      <c r="P57">
        <f t="shared" si="10"/>
        <v>3.7081168169491527</v>
      </c>
      <c r="R57" s="2">
        <f t="shared" si="14"/>
        <v>183</v>
      </c>
      <c r="S57">
        <f t="shared" si="15"/>
        <v>10.128139962711865</v>
      </c>
      <c r="T57">
        <f t="shared" si="16"/>
        <v>35.09035884041004</v>
      </c>
      <c r="V57" s="2">
        <f t="shared" si="11"/>
        <v>116</v>
      </c>
      <c r="W57">
        <f t="shared" si="12"/>
        <v>6.4200231457627126</v>
      </c>
      <c r="Y57">
        <f t="shared" si="13"/>
        <v>22.243068991735328</v>
      </c>
    </row>
    <row r="58" spans="1:25" x14ac:dyDescent="0.25">
      <c r="A58" s="1">
        <v>56000</v>
      </c>
      <c r="B58" s="2">
        <v>252</v>
      </c>
      <c r="C58" s="5">
        <f>(B59-B57)/2</f>
        <v>1</v>
      </c>
      <c r="E58" s="4">
        <f t="shared" si="0"/>
        <v>0.31638418079096048</v>
      </c>
      <c r="F58">
        <f t="shared" si="1"/>
        <v>6.7579661016949153</v>
      </c>
      <c r="G58">
        <f t="shared" si="2"/>
        <v>56.351300338983052</v>
      </c>
      <c r="H58">
        <f t="shared" si="3"/>
        <v>5.635130033898305E-2</v>
      </c>
      <c r="I58" s="2">
        <f t="shared" si="5"/>
        <v>11</v>
      </c>
      <c r="K58">
        <f t="shared" si="6"/>
        <v>0.61986430372881351</v>
      </c>
      <c r="L58" s="2">
        <f t="shared" si="7"/>
        <v>41</v>
      </c>
      <c r="M58">
        <f t="shared" si="8"/>
        <v>2.3104033138983051</v>
      </c>
      <c r="O58" s="2">
        <f t="shared" si="9"/>
        <v>53</v>
      </c>
      <c r="P58">
        <f t="shared" si="10"/>
        <v>2.9866189179661013</v>
      </c>
      <c r="R58" s="2">
        <f t="shared" si="14"/>
        <v>168</v>
      </c>
      <c r="S58">
        <f t="shared" si="15"/>
        <v>9.4670184569491518</v>
      </c>
      <c r="T58">
        <f t="shared" si="16"/>
        <v>32.799810826684315</v>
      </c>
      <c r="V58" s="2">
        <f t="shared" si="11"/>
        <v>101</v>
      </c>
      <c r="W58">
        <f t="shared" si="12"/>
        <v>5.6914813342372881</v>
      </c>
      <c r="Y58">
        <f t="shared" si="13"/>
        <v>19.718933889851879</v>
      </c>
    </row>
    <row r="59" spans="1:25" x14ac:dyDescent="0.25">
      <c r="A59" s="1">
        <v>57000</v>
      </c>
      <c r="B59" s="2">
        <v>253</v>
      </c>
      <c r="C59" s="5">
        <f>(B58-B60)/2</f>
        <v>5</v>
      </c>
      <c r="E59" s="4">
        <f t="shared" si="0"/>
        <v>0.32203389830508472</v>
      </c>
      <c r="F59">
        <f t="shared" si="1"/>
        <v>6.8786440677966096</v>
      </c>
      <c r="G59">
        <f t="shared" si="2"/>
        <v>286.7878677966101</v>
      </c>
      <c r="H59">
        <f t="shared" si="3"/>
        <v>0.28678786779661009</v>
      </c>
      <c r="I59" s="2">
        <f t="shared" si="5"/>
        <v>7</v>
      </c>
      <c r="K59">
        <f t="shared" si="6"/>
        <v>0.4015030149152542</v>
      </c>
      <c r="L59" s="2">
        <f t="shared" si="7"/>
        <v>29</v>
      </c>
      <c r="M59">
        <f t="shared" si="8"/>
        <v>1.6633696332203387</v>
      </c>
      <c r="O59" s="2">
        <f t="shared" si="9"/>
        <v>43</v>
      </c>
      <c r="P59">
        <f t="shared" si="10"/>
        <v>2.4663756630508473</v>
      </c>
      <c r="R59" s="2">
        <f t="shared" si="14"/>
        <v>159</v>
      </c>
      <c r="S59">
        <f t="shared" si="15"/>
        <v>9.1198541959322021</v>
      </c>
      <c r="T59">
        <f t="shared" si="16"/>
        <v>31.597011641394552</v>
      </c>
      <c r="V59" s="2">
        <f t="shared" si="11"/>
        <v>91</v>
      </c>
      <c r="W59">
        <f t="shared" si="12"/>
        <v>5.2195391938983047</v>
      </c>
      <c r="Y59">
        <f t="shared" si="13"/>
        <v>18.083824272747822</v>
      </c>
    </row>
    <row r="60" spans="1:25" x14ac:dyDescent="0.25">
      <c r="A60" s="1">
        <v>58000</v>
      </c>
      <c r="B60" s="2">
        <v>242</v>
      </c>
      <c r="C60" s="2">
        <f t="shared" si="4"/>
        <v>11</v>
      </c>
      <c r="E60" s="4">
        <f t="shared" si="0"/>
        <v>0.32768361581920902</v>
      </c>
      <c r="F60">
        <f t="shared" si="1"/>
        <v>6.9993220338983049</v>
      </c>
      <c r="G60">
        <f t="shared" si="2"/>
        <v>642.00231457627115</v>
      </c>
      <c r="H60">
        <f t="shared" si="3"/>
        <v>0.6420023145762711</v>
      </c>
      <c r="I60" s="2">
        <f t="shared" si="5"/>
        <v>9</v>
      </c>
      <c r="K60">
        <f t="shared" si="6"/>
        <v>0.52527462101694911</v>
      </c>
      <c r="L60" s="2">
        <f t="shared" si="7"/>
        <v>35</v>
      </c>
      <c r="M60">
        <f t="shared" si="8"/>
        <v>2.0427346372881354</v>
      </c>
      <c r="O60" s="2">
        <f t="shared" si="9"/>
        <v>51</v>
      </c>
      <c r="P60">
        <f t="shared" si="10"/>
        <v>2.9765561857627119</v>
      </c>
      <c r="R60" s="2">
        <f t="shared" si="14"/>
        <v>151</v>
      </c>
      <c r="S60">
        <f t="shared" si="15"/>
        <v>8.812940863728814</v>
      </c>
      <c r="T60">
        <f t="shared" si="16"/>
        <v>30.5336674341094</v>
      </c>
      <c r="V60" s="2">
        <f t="shared" si="11"/>
        <v>85</v>
      </c>
      <c r="W60">
        <f t="shared" si="12"/>
        <v>4.9609269762711872</v>
      </c>
      <c r="Y60">
        <f t="shared" si="13"/>
        <v>17.187826039068209</v>
      </c>
    </row>
    <row r="61" spans="1:25" x14ac:dyDescent="0.25">
      <c r="A61" s="1">
        <v>59000</v>
      </c>
      <c r="B61" s="2">
        <v>236</v>
      </c>
      <c r="C61" s="2">
        <f t="shared" si="4"/>
        <v>6</v>
      </c>
      <c r="E61" s="4">
        <f t="shared" si="0"/>
        <v>0.33333333333333331</v>
      </c>
      <c r="F61">
        <f t="shared" si="1"/>
        <v>7.1199999999999992</v>
      </c>
      <c r="G61">
        <f t="shared" si="2"/>
        <v>356.22071999999997</v>
      </c>
      <c r="H61">
        <f t="shared" si="3"/>
        <v>0.35622071999999999</v>
      </c>
      <c r="I61" s="2">
        <f t="shared" si="5"/>
        <v>16</v>
      </c>
      <c r="K61">
        <f t="shared" si="6"/>
        <v>0.94992191999999998</v>
      </c>
      <c r="L61" s="2">
        <f t="shared" si="7"/>
        <v>36</v>
      </c>
      <c r="M61">
        <f t="shared" si="8"/>
        <v>2.1373243199999998</v>
      </c>
      <c r="O61" s="2">
        <f t="shared" si="9"/>
        <v>46</v>
      </c>
      <c r="P61">
        <f t="shared" si="10"/>
        <v>2.7310255199999998</v>
      </c>
      <c r="R61" s="2">
        <f t="shared" si="14"/>
        <v>138</v>
      </c>
      <c r="S61">
        <f t="shared" si="15"/>
        <v>8.1930765599999997</v>
      </c>
      <c r="T61">
        <f t="shared" si="16"/>
        <v>28.386060772838402</v>
      </c>
      <c r="V61" s="2">
        <f t="shared" si="11"/>
        <v>83</v>
      </c>
      <c r="W61">
        <f t="shared" si="12"/>
        <v>4.9277199600000001</v>
      </c>
      <c r="Y61">
        <f t="shared" si="13"/>
        <v>17.072775682214402</v>
      </c>
    </row>
    <row r="62" spans="1:25" x14ac:dyDescent="0.25">
      <c r="A62" s="1">
        <v>60000</v>
      </c>
      <c r="B62" s="2">
        <v>228</v>
      </c>
      <c r="C62" s="2">
        <f t="shared" si="4"/>
        <v>8</v>
      </c>
      <c r="E62" s="4">
        <f t="shared" si="0"/>
        <v>0.33898305084745761</v>
      </c>
      <c r="F62">
        <f t="shared" si="1"/>
        <v>7.2406779661016945</v>
      </c>
      <c r="G62">
        <f t="shared" si="2"/>
        <v>483.01114576271181</v>
      </c>
      <c r="H62">
        <f t="shared" si="3"/>
        <v>0.48301114576271181</v>
      </c>
      <c r="I62" s="2">
        <f t="shared" si="5"/>
        <v>25</v>
      </c>
      <c r="K62">
        <f t="shared" si="6"/>
        <v>1.5094098305084742</v>
      </c>
      <c r="L62" s="2">
        <f t="shared" si="7"/>
        <v>35</v>
      </c>
      <c r="M62">
        <f t="shared" si="8"/>
        <v>2.1131737627118641</v>
      </c>
      <c r="O62" s="2">
        <f t="shared" si="9"/>
        <v>49</v>
      </c>
      <c r="P62">
        <f t="shared" si="10"/>
        <v>2.9584432677966097</v>
      </c>
      <c r="R62" s="2">
        <f t="shared" si="14"/>
        <v>139</v>
      </c>
      <c r="S62">
        <f t="shared" si="15"/>
        <v>8.3923186576271167</v>
      </c>
      <c r="T62">
        <f t="shared" si="16"/>
        <v>29.076362913961216</v>
      </c>
      <c r="V62" s="2">
        <f t="shared" si="11"/>
        <v>90</v>
      </c>
      <c r="W62">
        <f t="shared" si="12"/>
        <v>5.433875389830507</v>
      </c>
      <c r="Y62">
        <f t="shared" si="13"/>
        <v>18.826422030622368</v>
      </c>
    </row>
    <row r="63" spans="1:25" x14ac:dyDescent="0.25">
      <c r="A63" s="1">
        <v>61000</v>
      </c>
      <c r="B63" s="2">
        <v>227</v>
      </c>
      <c r="C63" s="2">
        <f t="shared" si="4"/>
        <v>1</v>
      </c>
      <c r="E63" s="4">
        <f t="shared" si="0"/>
        <v>0.34463276836158191</v>
      </c>
      <c r="F63">
        <f t="shared" si="1"/>
        <v>7.3613559322033897</v>
      </c>
      <c r="G63">
        <f t="shared" si="2"/>
        <v>61.382666440677966</v>
      </c>
      <c r="H63">
        <f t="shared" si="3"/>
        <v>6.1382666440677969E-2</v>
      </c>
      <c r="I63" s="2">
        <f t="shared" si="5"/>
        <v>15</v>
      </c>
      <c r="K63">
        <f t="shared" si="6"/>
        <v>0.92073999661016959</v>
      </c>
      <c r="L63" s="2">
        <f t="shared" si="7"/>
        <v>33</v>
      </c>
      <c r="M63">
        <f t="shared" si="8"/>
        <v>2.0256279925423728</v>
      </c>
      <c r="O63" s="2">
        <f t="shared" si="9"/>
        <v>45</v>
      </c>
      <c r="P63">
        <f t="shared" si="10"/>
        <v>2.7622199898305082</v>
      </c>
      <c r="R63" s="2">
        <f t="shared" si="14"/>
        <v>126</v>
      </c>
      <c r="S63">
        <f t="shared" si="15"/>
        <v>7.7342159715254244</v>
      </c>
      <c r="T63">
        <f t="shared" si="16"/>
        <v>26.796274023585852</v>
      </c>
      <c r="V63" s="2">
        <f t="shared" si="11"/>
        <v>78</v>
      </c>
      <c r="W63">
        <f t="shared" si="12"/>
        <v>4.7878479823728819</v>
      </c>
      <c r="Y63">
        <f t="shared" si="13"/>
        <v>16.588169633648381</v>
      </c>
    </row>
    <row r="64" spans="1:25" x14ac:dyDescent="0.25">
      <c r="A64" s="1">
        <v>62000</v>
      </c>
      <c r="B64" s="2">
        <v>224</v>
      </c>
      <c r="C64" s="2">
        <f t="shared" si="4"/>
        <v>3</v>
      </c>
      <c r="E64" s="4">
        <f t="shared" si="0"/>
        <v>0.35028248587570621</v>
      </c>
      <c r="F64">
        <f t="shared" si="1"/>
        <v>7.482033898305084</v>
      </c>
      <c r="G64">
        <f t="shared" si="2"/>
        <v>187.16681898305086</v>
      </c>
      <c r="H64">
        <f t="shared" si="3"/>
        <v>0.18716681898305085</v>
      </c>
      <c r="I64" s="2">
        <f t="shared" si="5"/>
        <v>12</v>
      </c>
      <c r="K64">
        <f t="shared" si="6"/>
        <v>0.74866727593220328</v>
      </c>
      <c r="L64" s="2">
        <f t="shared" si="7"/>
        <v>27</v>
      </c>
      <c r="M64">
        <f t="shared" si="8"/>
        <v>1.6845013708474577</v>
      </c>
      <c r="O64" s="2">
        <f t="shared" si="9"/>
        <v>39</v>
      </c>
      <c r="P64">
        <f t="shared" si="10"/>
        <v>2.4331686467796607</v>
      </c>
      <c r="R64" s="2">
        <f t="shared" si="14"/>
        <v>120</v>
      </c>
      <c r="S64">
        <f t="shared" si="15"/>
        <v>7.4866727593220341</v>
      </c>
      <c r="T64">
        <f t="shared" si="16"/>
        <v>25.938625908857496</v>
      </c>
      <c r="V64" s="2">
        <f t="shared" si="11"/>
        <v>72</v>
      </c>
      <c r="W64">
        <f t="shared" si="12"/>
        <v>4.4920036555932201</v>
      </c>
      <c r="Y64">
        <f t="shared" si="13"/>
        <v>15.563175545314495</v>
      </c>
    </row>
    <row r="65" spans="1:25" x14ac:dyDescent="0.25">
      <c r="A65" s="1">
        <v>63000</v>
      </c>
      <c r="B65" s="2">
        <v>216</v>
      </c>
      <c r="C65" s="2">
        <f t="shared" si="4"/>
        <v>8</v>
      </c>
      <c r="E65" s="4">
        <f t="shared" si="0"/>
        <v>0.3559322033898305</v>
      </c>
      <c r="F65">
        <f t="shared" si="1"/>
        <v>7.6027118644067793</v>
      </c>
      <c r="G65">
        <f t="shared" si="2"/>
        <v>507.16170305084745</v>
      </c>
      <c r="H65">
        <f t="shared" si="3"/>
        <v>0.5071617030508474</v>
      </c>
      <c r="I65" s="2">
        <f t="shared" si="5"/>
        <v>12</v>
      </c>
      <c r="K65">
        <f t="shared" si="6"/>
        <v>0.76074255457627105</v>
      </c>
      <c r="L65" s="2">
        <f t="shared" si="7"/>
        <v>36</v>
      </c>
      <c r="M65">
        <f t="shared" si="8"/>
        <v>2.2822276637288135</v>
      </c>
      <c r="O65" s="2">
        <f t="shared" si="9"/>
        <v>44</v>
      </c>
      <c r="P65">
        <f t="shared" si="10"/>
        <v>2.7893893667796603</v>
      </c>
      <c r="R65" s="2">
        <f t="shared" si="14"/>
        <v>111</v>
      </c>
      <c r="S65">
        <f t="shared" si="15"/>
        <v>7.0368686298305079</v>
      </c>
      <c r="T65">
        <f t="shared" si="16"/>
        <v>24.380216529655971</v>
      </c>
      <c r="V65" s="2">
        <f t="shared" si="11"/>
        <v>77</v>
      </c>
      <c r="W65">
        <f t="shared" si="12"/>
        <v>4.8814313918644059</v>
      </c>
      <c r="Y65">
        <f t="shared" si="13"/>
        <v>16.912402457509096</v>
      </c>
    </row>
    <row r="66" spans="1:25" x14ac:dyDescent="0.25">
      <c r="A66" s="1">
        <v>64000</v>
      </c>
      <c r="B66" s="2">
        <v>211</v>
      </c>
      <c r="C66" s="2">
        <f t="shared" si="4"/>
        <v>5</v>
      </c>
      <c r="E66" s="4">
        <f t="shared" si="0"/>
        <v>0.3615819209039548</v>
      </c>
      <c r="F66">
        <f t="shared" si="1"/>
        <v>7.7233898305084745</v>
      </c>
      <c r="G66">
        <f t="shared" si="2"/>
        <v>322.00743050847461</v>
      </c>
      <c r="H66">
        <f t="shared" si="3"/>
        <v>0.32200743050847463</v>
      </c>
      <c r="I66" s="2">
        <f t="shared" si="5"/>
        <v>16</v>
      </c>
      <c r="K66">
        <f t="shared" si="6"/>
        <v>1.0304237776271186</v>
      </c>
      <c r="L66" s="2">
        <f t="shared" si="7"/>
        <v>42</v>
      </c>
      <c r="M66">
        <f t="shared" si="8"/>
        <v>2.7048624162711863</v>
      </c>
      <c r="O66" s="2">
        <f t="shared" si="9"/>
        <v>40</v>
      </c>
      <c r="P66">
        <f t="shared" si="10"/>
        <v>2.5760594440677966</v>
      </c>
      <c r="R66" s="2">
        <f t="shared" si="14"/>
        <v>108</v>
      </c>
      <c r="S66">
        <f t="shared" si="15"/>
        <v>6.9553604989830511</v>
      </c>
      <c r="T66">
        <f t="shared" si="16"/>
        <v>24.09782019919664</v>
      </c>
      <c r="V66" s="2">
        <f t="shared" si="11"/>
        <v>71</v>
      </c>
      <c r="W66">
        <f t="shared" si="12"/>
        <v>4.5725055132203387</v>
      </c>
      <c r="Y66">
        <f t="shared" si="13"/>
        <v>15.842085501323714</v>
      </c>
    </row>
    <row r="67" spans="1:25" x14ac:dyDescent="0.25">
      <c r="A67" s="1">
        <v>65000</v>
      </c>
      <c r="B67" s="2">
        <v>207</v>
      </c>
      <c r="C67" s="2">
        <f t="shared" ref="C67" si="17">(B66-B67)</f>
        <v>4</v>
      </c>
      <c r="E67" s="4">
        <f t="shared" ref="E67" si="18">A67/177000</f>
        <v>0.3672316384180791</v>
      </c>
      <c r="F67">
        <f t="shared" ref="F67" si="19">E67*21.36</f>
        <v>7.8440677966101697</v>
      </c>
      <c r="G67">
        <f t="shared" ref="G67" si="20">(1000*F67*C67*0.85*9.81)/1000</f>
        <v>261.63103728813559</v>
      </c>
      <c r="H67">
        <f t="shared" ref="H67" si="21">G67/1000</f>
        <v>0.26163103728813558</v>
      </c>
      <c r="I67" s="2">
        <f t="shared" si="5"/>
        <v>17</v>
      </c>
      <c r="K67">
        <f t="shared" si="6"/>
        <v>1.1119319084745765</v>
      </c>
      <c r="L67" s="2">
        <f t="shared" si="7"/>
        <v>35</v>
      </c>
      <c r="M67">
        <f t="shared" si="8"/>
        <v>2.2892715762711862</v>
      </c>
      <c r="O67" s="2">
        <f t="shared" si="9"/>
        <v>45</v>
      </c>
      <c r="P67">
        <f t="shared" si="10"/>
        <v>2.9433491694915253</v>
      </c>
      <c r="R67" s="2">
        <f t="shared" si="14"/>
        <v>111</v>
      </c>
      <c r="S67">
        <f t="shared" si="15"/>
        <v>7.2602612847457619</v>
      </c>
      <c r="T67">
        <f t="shared" si="16"/>
        <v>25.15419165758156</v>
      </c>
      <c r="V67" s="2">
        <f t="shared" si="11"/>
        <v>70</v>
      </c>
      <c r="W67">
        <f t="shared" si="12"/>
        <v>4.5785431525423723</v>
      </c>
      <c r="Y67">
        <f t="shared" si="13"/>
        <v>15.863003748024404</v>
      </c>
    </row>
    <row r="68" spans="1:25" x14ac:dyDescent="0.25">
      <c r="A68" s="1">
        <v>66000</v>
      </c>
      <c r="B68" s="2">
        <v>204</v>
      </c>
      <c r="C68" s="2">
        <f t="shared" ref="C68:C131" si="22">(B67-B68)</f>
        <v>3</v>
      </c>
      <c r="E68" s="4">
        <f t="shared" ref="E68:E131" si="23">A68/177000</f>
        <v>0.3728813559322034</v>
      </c>
      <c r="F68">
        <f t="shared" ref="F68:F131" si="24">E68*21.36</f>
        <v>7.9647457627118641</v>
      </c>
      <c r="G68">
        <f t="shared" ref="G68:G131" si="25">(1000*F68*C68*0.85*9.81)/1000</f>
        <v>199.2420976271186</v>
      </c>
      <c r="H68">
        <f t="shared" ref="H68:H110" si="26">G68/1000</f>
        <v>0.19924209762711859</v>
      </c>
      <c r="I68" s="2">
        <f t="shared" si="5"/>
        <v>12</v>
      </c>
      <c r="K68">
        <f t="shared" si="6"/>
        <v>0.79696839050847457</v>
      </c>
      <c r="L68" s="2">
        <f t="shared" si="7"/>
        <v>32</v>
      </c>
      <c r="M68">
        <f t="shared" si="8"/>
        <v>2.1252490413559322</v>
      </c>
      <c r="O68" s="2">
        <f t="shared" si="9"/>
        <v>49</v>
      </c>
      <c r="P68">
        <f t="shared" si="10"/>
        <v>3.2542875945762706</v>
      </c>
      <c r="R68" s="2">
        <f t="shared" si="14"/>
        <v>101</v>
      </c>
      <c r="S68">
        <f t="shared" si="15"/>
        <v>6.7078172867796608</v>
      </c>
      <c r="T68">
        <f t="shared" si="16"/>
        <v>23.240172084468284</v>
      </c>
      <c r="V68" s="2">
        <f t="shared" si="11"/>
        <v>68</v>
      </c>
      <c r="W68">
        <f t="shared" si="12"/>
        <v>4.5161542128813554</v>
      </c>
      <c r="Y68">
        <f t="shared" si="13"/>
        <v>15.646848532117261</v>
      </c>
    </row>
    <row r="69" spans="1:25" x14ac:dyDescent="0.25">
      <c r="A69" s="1">
        <v>67000</v>
      </c>
      <c r="B69" s="2">
        <v>201</v>
      </c>
      <c r="C69" s="2">
        <f t="shared" si="22"/>
        <v>3</v>
      </c>
      <c r="E69" s="4">
        <f t="shared" si="23"/>
        <v>0.37853107344632769</v>
      </c>
      <c r="F69">
        <f t="shared" si="24"/>
        <v>8.0854237288135593</v>
      </c>
      <c r="G69">
        <f t="shared" si="25"/>
        <v>202.26091728813563</v>
      </c>
      <c r="H69">
        <f t="shared" si="26"/>
        <v>0.20226091728813564</v>
      </c>
      <c r="I69" s="2">
        <f t="shared" ref="I69" si="27">B66-B69</f>
        <v>10</v>
      </c>
      <c r="K69">
        <f t="shared" ref="K69" si="28">(1000*9.81*I69*F69*0.85)/1000000</f>
        <v>0.67420305762711863</v>
      </c>
      <c r="L69" s="2">
        <f t="shared" si="7"/>
        <v>27</v>
      </c>
      <c r="M69">
        <f t="shared" si="8"/>
        <v>1.8203482555932204</v>
      </c>
      <c r="O69" s="2">
        <f t="shared" si="9"/>
        <v>41</v>
      </c>
      <c r="P69">
        <f t="shared" si="10"/>
        <v>2.7642325362711864</v>
      </c>
      <c r="R69" s="2">
        <f t="shared" si="14"/>
        <v>95</v>
      </c>
      <c r="S69">
        <f t="shared" si="15"/>
        <v>6.4049290474576273</v>
      </c>
      <c r="T69">
        <f t="shared" si="16"/>
        <v>22.190773374983596</v>
      </c>
      <c r="V69" s="2">
        <f t="shared" si="11"/>
        <v>62</v>
      </c>
      <c r="W69">
        <f t="shared" si="12"/>
        <v>4.1800589572881357</v>
      </c>
      <c r="Y69">
        <f t="shared" si="13"/>
        <v>14.482399465778768</v>
      </c>
    </row>
    <row r="70" spans="1:25" x14ac:dyDescent="0.25">
      <c r="A70" s="1">
        <v>68000</v>
      </c>
      <c r="B70" s="2">
        <v>193</v>
      </c>
      <c r="C70" s="2">
        <f t="shared" si="22"/>
        <v>8</v>
      </c>
      <c r="E70" s="4">
        <f t="shared" si="23"/>
        <v>0.38418079096045199</v>
      </c>
      <c r="F70">
        <f t="shared" si="24"/>
        <v>8.2061016949152545</v>
      </c>
      <c r="G70">
        <f t="shared" si="25"/>
        <v>547.41263186440676</v>
      </c>
      <c r="H70">
        <f t="shared" si="26"/>
        <v>0.54741263186440681</v>
      </c>
      <c r="I70" s="2">
        <f t="shared" ref="I70:I133" si="29">B67-B70</f>
        <v>14</v>
      </c>
      <c r="K70">
        <f t="shared" ref="K70:K133" si="30">(1000*9.81*I70*F70*0.85)/1000000</f>
        <v>0.95797210576271197</v>
      </c>
      <c r="L70" s="2">
        <f t="shared" si="7"/>
        <v>34</v>
      </c>
      <c r="M70">
        <f t="shared" si="8"/>
        <v>2.3265036854237291</v>
      </c>
      <c r="O70" s="2">
        <f t="shared" si="9"/>
        <v>43</v>
      </c>
      <c r="P70">
        <f t="shared" si="10"/>
        <v>2.9423428962711866</v>
      </c>
      <c r="R70" s="2">
        <f t="shared" si="14"/>
        <v>100</v>
      </c>
      <c r="S70">
        <f t="shared" si="15"/>
        <v>6.8426578983050845</v>
      </c>
      <c r="T70">
        <f t="shared" si="16"/>
        <v>23.707346260783734</v>
      </c>
      <c r="V70" s="2">
        <f t="shared" si="11"/>
        <v>67</v>
      </c>
      <c r="W70">
        <f t="shared" si="12"/>
        <v>4.5845807918644059</v>
      </c>
      <c r="Y70">
        <f t="shared" si="13"/>
        <v>15.883921994725094</v>
      </c>
    </row>
    <row r="71" spans="1:25" x14ac:dyDescent="0.25">
      <c r="A71" s="1">
        <v>69000</v>
      </c>
      <c r="B71" s="2">
        <v>194</v>
      </c>
      <c r="C71" s="5">
        <f>(B70-B72)/2</f>
        <v>1</v>
      </c>
      <c r="E71" s="4">
        <f t="shared" si="23"/>
        <v>0.38983050847457629</v>
      </c>
      <c r="F71">
        <f t="shared" si="24"/>
        <v>8.3267796610169498</v>
      </c>
      <c r="G71">
        <f t="shared" si="25"/>
        <v>69.432852203389828</v>
      </c>
      <c r="H71">
        <f t="shared" si="26"/>
        <v>6.9432852203389822E-2</v>
      </c>
      <c r="I71" s="2">
        <f t="shared" si="29"/>
        <v>10</v>
      </c>
      <c r="K71">
        <f t="shared" si="30"/>
        <v>0.69432852203389828</v>
      </c>
      <c r="L71" s="2">
        <f t="shared" si="7"/>
        <v>30</v>
      </c>
      <c r="M71">
        <f t="shared" si="8"/>
        <v>2.0829855661016952</v>
      </c>
      <c r="O71" s="2">
        <f t="shared" si="9"/>
        <v>34</v>
      </c>
      <c r="P71">
        <f t="shared" si="10"/>
        <v>2.3607169749152543</v>
      </c>
      <c r="R71" s="2">
        <f t="shared" si="14"/>
        <v>88</v>
      </c>
      <c r="S71">
        <f t="shared" si="15"/>
        <v>6.1100909938983063</v>
      </c>
      <c r="T71">
        <f t="shared" si="16"/>
        <v>21.169265661099832</v>
      </c>
      <c r="V71" s="2">
        <f t="shared" si="11"/>
        <v>57</v>
      </c>
      <c r="W71">
        <f t="shared" si="12"/>
        <v>3.9576725755932207</v>
      </c>
      <c r="Y71">
        <f t="shared" si="13"/>
        <v>13.711910712303295</v>
      </c>
    </row>
    <row r="72" spans="1:25" x14ac:dyDescent="0.25">
      <c r="A72" s="1">
        <v>70000</v>
      </c>
      <c r="B72" s="2">
        <v>191</v>
      </c>
      <c r="C72" s="2">
        <f t="shared" si="22"/>
        <v>3</v>
      </c>
      <c r="E72" s="4">
        <f t="shared" si="23"/>
        <v>0.39548022598870058</v>
      </c>
      <c r="F72">
        <f t="shared" si="24"/>
        <v>8.447457627118645</v>
      </c>
      <c r="G72">
        <f t="shared" si="25"/>
        <v>211.31737627118648</v>
      </c>
      <c r="H72">
        <f t="shared" si="26"/>
        <v>0.21131737627118646</v>
      </c>
      <c r="I72" s="2">
        <f t="shared" si="29"/>
        <v>10</v>
      </c>
      <c r="K72">
        <f t="shared" si="30"/>
        <v>0.7043912542372881</v>
      </c>
      <c r="L72" s="2">
        <f t="shared" si="7"/>
        <v>25</v>
      </c>
      <c r="M72">
        <f t="shared" si="8"/>
        <v>1.7609781355932204</v>
      </c>
      <c r="O72" s="2">
        <f t="shared" si="9"/>
        <v>36</v>
      </c>
      <c r="P72">
        <f t="shared" si="10"/>
        <v>2.5358085152542373</v>
      </c>
      <c r="R72" s="2">
        <f t="shared" si="14"/>
        <v>86</v>
      </c>
      <c r="S72">
        <f t="shared" si="15"/>
        <v>6.0577647864406785</v>
      </c>
      <c r="T72">
        <f t="shared" si="16"/>
        <v>20.987974189693833</v>
      </c>
      <c r="V72" s="2">
        <f t="shared" si="11"/>
        <v>61</v>
      </c>
      <c r="W72">
        <f t="shared" si="12"/>
        <v>4.2967866508474577</v>
      </c>
      <c r="Y72">
        <f t="shared" si="13"/>
        <v>14.886818901992138</v>
      </c>
    </row>
    <row r="73" spans="1:25" x14ac:dyDescent="0.25">
      <c r="A73" s="1">
        <v>71000</v>
      </c>
      <c r="B73" s="2">
        <v>182</v>
      </c>
      <c r="C73" s="2">
        <f t="shared" si="22"/>
        <v>9</v>
      </c>
      <c r="E73" s="4">
        <f t="shared" si="23"/>
        <v>0.40112994350282488</v>
      </c>
      <c r="F73">
        <f t="shared" si="24"/>
        <v>8.5681355932203385</v>
      </c>
      <c r="G73">
        <f t="shared" si="25"/>
        <v>643.00858779661019</v>
      </c>
      <c r="H73">
        <f t="shared" si="26"/>
        <v>0.64300858779661019</v>
      </c>
      <c r="I73" s="2">
        <f t="shared" si="29"/>
        <v>11</v>
      </c>
      <c r="K73">
        <f t="shared" si="30"/>
        <v>0.78589938508474566</v>
      </c>
      <c r="L73" s="2">
        <f t="shared" si="7"/>
        <v>29</v>
      </c>
      <c r="M73">
        <f t="shared" si="8"/>
        <v>2.0719165606779657</v>
      </c>
      <c r="O73" s="2">
        <f t="shared" si="9"/>
        <v>42</v>
      </c>
      <c r="P73">
        <f t="shared" si="10"/>
        <v>3.0007067430508467</v>
      </c>
      <c r="R73" s="2">
        <f t="shared" si="14"/>
        <v>90</v>
      </c>
      <c r="S73">
        <f t="shared" si="15"/>
        <v>6.4300858779661008</v>
      </c>
      <c r="T73">
        <f t="shared" si="16"/>
        <v>22.277932736236476</v>
      </c>
      <c r="V73" s="2">
        <f t="shared" si="11"/>
        <v>71</v>
      </c>
      <c r="W73">
        <f t="shared" si="12"/>
        <v>5.0726233037288129</v>
      </c>
      <c r="Y73">
        <f t="shared" si="13"/>
        <v>17.574813603030993</v>
      </c>
    </row>
    <row r="74" spans="1:25" x14ac:dyDescent="0.25">
      <c r="A74" s="1">
        <v>72000</v>
      </c>
      <c r="B74" s="2">
        <v>183</v>
      </c>
      <c r="C74" s="5">
        <f>(B73-B75)/2</f>
        <v>2</v>
      </c>
      <c r="E74" s="4">
        <f t="shared" si="23"/>
        <v>0.40677966101694918</v>
      </c>
      <c r="F74">
        <f t="shared" si="24"/>
        <v>8.6888135593220337</v>
      </c>
      <c r="G74">
        <f t="shared" si="25"/>
        <v>144.90334372881355</v>
      </c>
      <c r="H74">
        <f t="shared" si="26"/>
        <v>0.14490334372881356</v>
      </c>
      <c r="I74" s="2">
        <f t="shared" si="29"/>
        <v>11</v>
      </c>
      <c r="K74">
        <f t="shared" si="30"/>
        <v>0.79696839050847457</v>
      </c>
      <c r="L74" s="2">
        <f t="shared" ref="L74:L137" si="31">B67-B74</f>
        <v>24</v>
      </c>
      <c r="M74">
        <f t="shared" ref="M74:M137" si="32">(1000*9.81*F74*L74*0.85)/1000000</f>
        <v>1.7388401247457628</v>
      </c>
      <c r="O74" s="2">
        <f t="shared" si="9"/>
        <v>33</v>
      </c>
      <c r="P74">
        <f t="shared" si="10"/>
        <v>2.3909051715254233</v>
      </c>
      <c r="R74" s="2">
        <f t="shared" si="14"/>
        <v>80</v>
      </c>
      <c r="S74">
        <f t="shared" si="15"/>
        <v>5.796133749152542</v>
      </c>
      <c r="T74">
        <f t="shared" si="16"/>
        <v>20.081516832663862</v>
      </c>
      <c r="V74" s="2">
        <f t="shared" si="11"/>
        <v>59</v>
      </c>
      <c r="W74">
        <f t="shared" si="12"/>
        <v>4.2746486400000006</v>
      </c>
      <c r="Y74">
        <f t="shared" si="13"/>
        <v>14.810118664089602</v>
      </c>
    </row>
    <row r="75" spans="1:25" x14ac:dyDescent="0.25">
      <c r="A75" s="1">
        <v>73000</v>
      </c>
      <c r="B75" s="2">
        <v>178</v>
      </c>
      <c r="C75" s="2">
        <f t="shared" si="22"/>
        <v>5</v>
      </c>
      <c r="E75" s="4">
        <f t="shared" si="23"/>
        <v>0.41242937853107342</v>
      </c>
      <c r="F75">
        <f t="shared" si="24"/>
        <v>8.8094915254237272</v>
      </c>
      <c r="G75">
        <f t="shared" si="25"/>
        <v>367.28972542372878</v>
      </c>
      <c r="H75">
        <f t="shared" si="26"/>
        <v>0.36728972542372879</v>
      </c>
      <c r="I75" s="2">
        <f t="shared" si="29"/>
        <v>13</v>
      </c>
      <c r="K75">
        <f t="shared" si="30"/>
        <v>0.95495328610169472</v>
      </c>
      <c r="L75" s="2">
        <f t="shared" si="31"/>
        <v>26</v>
      </c>
      <c r="M75">
        <f t="shared" si="32"/>
        <v>1.9099065722033894</v>
      </c>
      <c r="O75" s="2">
        <f t="shared" ref="O75" si="33">B66-B75</f>
        <v>33</v>
      </c>
      <c r="P75">
        <f t="shared" ref="P75:P138" si="34">(1000*9.81*F75*O75*0.85)/1000000</f>
        <v>2.4241121877966094</v>
      </c>
      <c r="R75" s="2">
        <f t="shared" si="14"/>
        <v>82</v>
      </c>
      <c r="S75">
        <f t="shared" si="15"/>
        <v>6.0235514969491515</v>
      </c>
      <c r="T75">
        <f t="shared" si="16"/>
        <v>20.869437458389907</v>
      </c>
      <c r="V75" s="2">
        <f t="shared" si="11"/>
        <v>58</v>
      </c>
      <c r="W75">
        <f t="shared" si="12"/>
        <v>4.2605608149152525</v>
      </c>
      <c r="Y75">
        <f t="shared" si="13"/>
        <v>14.761309421787981</v>
      </c>
    </row>
    <row r="76" spans="1:25" x14ac:dyDescent="0.25">
      <c r="A76" s="1">
        <v>74000</v>
      </c>
      <c r="B76" s="2">
        <v>177</v>
      </c>
      <c r="C76" s="2">
        <f t="shared" si="22"/>
        <v>1</v>
      </c>
      <c r="E76" s="4">
        <f t="shared" si="23"/>
        <v>0.41807909604519772</v>
      </c>
      <c r="F76">
        <f t="shared" si="24"/>
        <v>8.9301694915254224</v>
      </c>
      <c r="G76">
        <f t="shared" si="25"/>
        <v>74.464218305084742</v>
      </c>
      <c r="H76">
        <f t="shared" si="26"/>
        <v>7.4464218305084748E-2</v>
      </c>
      <c r="I76" s="2">
        <f t="shared" si="29"/>
        <v>5</v>
      </c>
      <c r="K76">
        <f t="shared" si="30"/>
        <v>0.3723210915254237</v>
      </c>
      <c r="L76" s="2">
        <f t="shared" si="31"/>
        <v>24</v>
      </c>
      <c r="M76">
        <f t="shared" si="32"/>
        <v>1.7871412393220336</v>
      </c>
      <c r="O76" s="2">
        <f t="shared" ref="O76:O139" si="35">B67-B76</f>
        <v>30</v>
      </c>
      <c r="P76">
        <f t="shared" si="34"/>
        <v>2.233926549152542</v>
      </c>
      <c r="R76" s="2">
        <f t="shared" si="14"/>
        <v>74</v>
      </c>
      <c r="S76">
        <f t="shared" si="15"/>
        <v>5.510352154576271</v>
      </c>
      <c r="T76">
        <f t="shared" si="16"/>
        <v>19.091386488831134</v>
      </c>
      <c r="V76" s="2">
        <f t="shared" si="11"/>
        <v>51</v>
      </c>
      <c r="W76">
        <f t="shared" si="12"/>
        <v>3.7976751335593222</v>
      </c>
      <c r="Y76">
        <f t="shared" si="13"/>
        <v>13.157577174734969</v>
      </c>
    </row>
    <row r="77" spans="1:25" x14ac:dyDescent="0.25">
      <c r="A77" s="1">
        <v>75000</v>
      </c>
      <c r="B77" s="2">
        <v>172</v>
      </c>
      <c r="C77" s="2">
        <f t="shared" si="22"/>
        <v>5</v>
      </c>
      <c r="E77" s="4">
        <f t="shared" si="23"/>
        <v>0.42372881355932202</v>
      </c>
      <c r="F77">
        <f t="shared" si="24"/>
        <v>9.0508474576271176</v>
      </c>
      <c r="G77">
        <f t="shared" si="25"/>
        <v>377.35245762711867</v>
      </c>
      <c r="H77">
        <f t="shared" si="26"/>
        <v>0.37735245762711866</v>
      </c>
      <c r="I77" s="2">
        <f t="shared" si="29"/>
        <v>11</v>
      </c>
      <c r="K77">
        <f t="shared" si="30"/>
        <v>0.83017540677966095</v>
      </c>
      <c r="L77" s="2">
        <f t="shared" si="31"/>
        <v>21</v>
      </c>
      <c r="M77">
        <f t="shared" si="32"/>
        <v>1.5848803220338981</v>
      </c>
      <c r="O77" s="2">
        <f t="shared" si="35"/>
        <v>32</v>
      </c>
      <c r="P77">
        <f t="shared" si="34"/>
        <v>2.415055728813559</v>
      </c>
      <c r="R77" s="2">
        <f t="shared" si="14"/>
        <v>80</v>
      </c>
      <c r="S77">
        <f t="shared" si="15"/>
        <v>6.0376393220338969</v>
      </c>
      <c r="T77">
        <f t="shared" si="16"/>
        <v>20.918246700691522</v>
      </c>
      <c r="V77" s="2">
        <f t="shared" si="11"/>
        <v>55</v>
      </c>
      <c r="W77">
        <f t="shared" si="12"/>
        <v>4.150877033898305</v>
      </c>
      <c r="Y77">
        <f t="shared" si="13"/>
        <v>14.381294606725424</v>
      </c>
    </row>
    <row r="78" spans="1:25" x14ac:dyDescent="0.25">
      <c r="A78" s="1">
        <v>76000</v>
      </c>
      <c r="B78" s="2">
        <v>171</v>
      </c>
      <c r="C78" s="2">
        <f t="shared" si="22"/>
        <v>1</v>
      </c>
      <c r="E78" s="4">
        <f t="shared" si="23"/>
        <v>0.42937853107344631</v>
      </c>
      <c r="F78">
        <f t="shared" si="24"/>
        <v>9.1715254237288129</v>
      </c>
      <c r="G78">
        <f t="shared" si="25"/>
        <v>76.476764745762722</v>
      </c>
      <c r="H78">
        <f t="shared" si="26"/>
        <v>7.6476764745762718E-2</v>
      </c>
      <c r="I78" s="2">
        <f t="shared" si="29"/>
        <v>7</v>
      </c>
      <c r="K78">
        <f t="shared" si="30"/>
        <v>0.53533735322033893</v>
      </c>
      <c r="L78" s="2">
        <f t="shared" si="31"/>
        <v>23</v>
      </c>
      <c r="M78">
        <f t="shared" si="32"/>
        <v>1.7589655891525422</v>
      </c>
      <c r="O78" s="2">
        <f t="shared" si="35"/>
        <v>30</v>
      </c>
      <c r="P78">
        <f t="shared" si="34"/>
        <v>2.2943029423728811</v>
      </c>
      <c r="R78" s="2">
        <f t="shared" si="14"/>
        <v>82</v>
      </c>
      <c r="S78">
        <f t="shared" si="15"/>
        <v>6.2710947091525417</v>
      </c>
      <c r="T78">
        <f t="shared" si="16"/>
        <v>21.727085573118263</v>
      </c>
      <c r="V78" s="2">
        <f t="shared" si="11"/>
        <v>53</v>
      </c>
      <c r="W78">
        <f t="shared" si="12"/>
        <v>4.0532685315254238</v>
      </c>
      <c r="Y78">
        <f t="shared" si="13"/>
        <v>14.043116285064245</v>
      </c>
    </row>
    <row r="79" spans="1:25" x14ac:dyDescent="0.25">
      <c r="A79" s="1">
        <v>77000</v>
      </c>
      <c r="B79" s="2">
        <v>164</v>
      </c>
      <c r="C79" s="2">
        <f t="shared" si="22"/>
        <v>7</v>
      </c>
      <c r="E79" s="4">
        <f t="shared" si="23"/>
        <v>0.43502824858757061</v>
      </c>
      <c r="F79">
        <f t="shared" si="24"/>
        <v>9.2922033898305081</v>
      </c>
      <c r="G79">
        <f t="shared" si="25"/>
        <v>542.38126576271191</v>
      </c>
      <c r="H79">
        <f t="shared" si="26"/>
        <v>0.54238126576271195</v>
      </c>
      <c r="I79" s="2">
        <f t="shared" si="29"/>
        <v>13</v>
      </c>
      <c r="K79">
        <f t="shared" si="30"/>
        <v>1.0072794935593219</v>
      </c>
      <c r="L79" s="2">
        <f t="shared" si="31"/>
        <v>27</v>
      </c>
      <c r="M79">
        <f t="shared" si="32"/>
        <v>2.0920420250847456</v>
      </c>
      <c r="O79" s="2">
        <f t="shared" si="35"/>
        <v>29</v>
      </c>
      <c r="P79">
        <f t="shared" si="34"/>
        <v>2.2470081010169491</v>
      </c>
      <c r="R79" s="2">
        <f t="shared" si="14"/>
        <v>78</v>
      </c>
      <c r="S79">
        <f t="shared" si="15"/>
        <v>6.0436769613559322</v>
      </c>
      <c r="T79">
        <f t="shared" si="16"/>
        <v>20.939164947392218</v>
      </c>
      <c r="V79" s="2">
        <f t="shared" si="11"/>
        <v>52</v>
      </c>
      <c r="W79">
        <f t="shared" si="12"/>
        <v>4.0291179742372876</v>
      </c>
      <c r="Y79">
        <f t="shared" si="13"/>
        <v>13.959443298261476</v>
      </c>
    </row>
    <row r="80" spans="1:25" x14ac:dyDescent="0.25">
      <c r="A80" s="1">
        <v>78000</v>
      </c>
      <c r="B80" s="2">
        <v>165</v>
      </c>
      <c r="C80" s="5">
        <f>(B79-B81)/2</f>
        <v>0.5</v>
      </c>
      <c r="E80" s="4">
        <f t="shared" si="23"/>
        <v>0.44067796610169491</v>
      </c>
      <c r="F80">
        <f t="shared" si="24"/>
        <v>9.4128813559322033</v>
      </c>
      <c r="G80">
        <f t="shared" si="25"/>
        <v>39.244655593220337</v>
      </c>
      <c r="H80">
        <f t="shared" si="26"/>
        <v>3.9244655593220337E-2</v>
      </c>
      <c r="I80" s="2">
        <f t="shared" si="29"/>
        <v>7</v>
      </c>
      <c r="K80">
        <f t="shared" si="30"/>
        <v>0.54942517830508475</v>
      </c>
      <c r="L80" s="2">
        <f t="shared" si="31"/>
        <v>17</v>
      </c>
      <c r="M80">
        <f t="shared" si="32"/>
        <v>1.3343182901694917</v>
      </c>
      <c r="O80" s="2">
        <f t="shared" si="35"/>
        <v>29</v>
      </c>
      <c r="P80">
        <f t="shared" si="34"/>
        <v>2.2761900244067794</v>
      </c>
      <c r="R80" s="2">
        <f t="shared" si="14"/>
        <v>71</v>
      </c>
      <c r="S80">
        <f t="shared" si="15"/>
        <v>5.5727410942372888</v>
      </c>
      <c r="T80">
        <f t="shared" si="16"/>
        <v>19.307541704738284</v>
      </c>
      <c r="V80" s="2">
        <f t="shared" ref="V80" si="36">B66-B80</f>
        <v>46</v>
      </c>
      <c r="W80">
        <f t="shared" ref="W80:W143" si="37">(1000*9.81*F80*V80*0.85)/1000000</f>
        <v>3.6105083145762715</v>
      </c>
      <c r="Y80">
        <f t="shared" ref="Y80:Y143" si="38">(W80*8640*0.401)/1000</f>
        <v>12.509111527013534</v>
      </c>
    </row>
    <row r="81" spans="1:25" x14ac:dyDescent="0.25">
      <c r="A81" s="1">
        <v>79000</v>
      </c>
      <c r="B81" s="2">
        <v>163</v>
      </c>
      <c r="C81" s="2">
        <f t="shared" si="22"/>
        <v>2</v>
      </c>
      <c r="E81" s="4">
        <f t="shared" si="23"/>
        <v>0.4463276836158192</v>
      </c>
      <c r="F81">
        <f t="shared" si="24"/>
        <v>9.5335593220338986</v>
      </c>
      <c r="G81">
        <f t="shared" si="25"/>
        <v>158.99116881355931</v>
      </c>
      <c r="H81">
        <f t="shared" si="26"/>
        <v>0.15899116881355932</v>
      </c>
      <c r="I81" s="2">
        <f t="shared" si="29"/>
        <v>8</v>
      </c>
      <c r="K81">
        <f t="shared" si="30"/>
        <v>0.63596467525423728</v>
      </c>
      <c r="L81" s="2">
        <f t="shared" si="31"/>
        <v>20</v>
      </c>
      <c r="M81">
        <f t="shared" si="32"/>
        <v>1.5899116881355932</v>
      </c>
      <c r="O81" s="2">
        <f t="shared" si="35"/>
        <v>28</v>
      </c>
      <c r="P81">
        <f t="shared" si="34"/>
        <v>2.2258763633898306</v>
      </c>
      <c r="R81" s="2">
        <f t="shared" si="14"/>
        <v>65</v>
      </c>
      <c r="S81">
        <f t="shared" si="15"/>
        <v>5.1672129864406777</v>
      </c>
      <c r="T81">
        <f t="shared" si="16"/>
        <v>17.902532801341835</v>
      </c>
      <c r="V81" s="2">
        <f t="shared" ref="V81:V144" si="39">B67-B81</f>
        <v>44</v>
      </c>
      <c r="W81">
        <f t="shared" si="37"/>
        <v>3.497805713898305</v>
      </c>
      <c r="Y81">
        <f t="shared" si="38"/>
        <v>12.118637588600624</v>
      </c>
    </row>
    <row r="82" spans="1:25" x14ac:dyDescent="0.25">
      <c r="A82" s="1">
        <v>80000</v>
      </c>
      <c r="B82" s="2">
        <v>153</v>
      </c>
      <c r="C82" s="2">
        <f t="shared" si="22"/>
        <v>10</v>
      </c>
      <c r="E82" s="4">
        <f t="shared" si="23"/>
        <v>0.4519774011299435</v>
      </c>
      <c r="F82">
        <f t="shared" si="24"/>
        <v>9.6542372881355938</v>
      </c>
      <c r="G82" s="6">
        <f t="shared" si="25"/>
        <v>805.01857627118636</v>
      </c>
      <c r="H82">
        <f t="shared" si="26"/>
        <v>0.80501857627118634</v>
      </c>
      <c r="I82" s="2">
        <f t="shared" si="29"/>
        <v>11</v>
      </c>
      <c r="K82">
        <f t="shared" si="30"/>
        <v>0.88552043389830515</v>
      </c>
      <c r="L82" s="2">
        <f t="shared" si="31"/>
        <v>25</v>
      </c>
      <c r="M82">
        <f t="shared" si="32"/>
        <v>2.0125464406779665</v>
      </c>
      <c r="O82" s="2">
        <f t="shared" si="35"/>
        <v>29</v>
      </c>
      <c r="P82">
        <f t="shared" si="34"/>
        <v>2.3345538711864409</v>
      </c>
      <c r="R82" s="2">
        <f t="shared" si="14"/>
        <v>74</v>
      </c>
      <c r="S82">
        <f t="shared" si="15"/>
        <v>5.95713746440678</v>
      </c>
      <c r="T82">
        <f t="shared" si="16"/>
        <v>20.639336744682307</v>
      </c>
      <c r="V82" s="2">
        <f t="shared" si="39"/>
        <v>51</v>
      </c>
      <c r="W82">
        <f t="shared" si="37"/>
        <v>4.1055947389830516</v>
      </c>
      <c r="Y82">
        <f t="shared" si="38"/>
        <v>14.224407756470242</v>
      </c>
    </row>
    <row r="83" spans="1:25" x14ac:dyDescent="0.25">
      <c r="A83" s="1">
        <v>81000</v>
      </c>
      <c r="B83" s="2">
        <v>158</v>
      </c>
      <c r="C83" s="5">
        <f>(B84-B82)/2</f>
        <v>3.5</v>
      </c>
      <c r="E83" s="4">
        <f t="shared" si="23"/>
        <v>0.4576271186440678</v>
      </c>
      <c r="F83">
        <f t="shared" si="24"/>
        <v>9.7749152542372872</v>
      </c>
      <c r="G83">
        <f t="shared" si="25"/>
        <v>285.27845796610166</v>
      </c>
      <c r="H83">
        <f t="shared" si="26"/>
        <v>0.28527845796610163</v>
      </c>
      <c r="I83" s="2">
        <f t="shared" si="29"/>
        <v>7</v>
      </c>
      <c r="K83">
        <f t="shared" si="30"/>
        <v>0.57055691593220326</v>
      </c>
      <c r="L83" s="2">
        <f t="shared" si="31"/>
        <v>19</v>
      </c>
      <c r="M83">
        <f t="shared" si="32"/>
        <v>1.5486544861016946</v>
      </c>
      <c r="O83" s="2">
        <f t="shared" si="35"/>
        <v>25</v>
      </c>
      <c r="P83">
        <f t="shared" si="34"/>
        <v>2.0377032711864405</v>
      </c>
      <c r="R83" s="2">
        <f t="shared" si="14"/>
        <v>66</v>
      </c>
      <c r="S83">
        <f t="shared" si="15"/>
        <v>5.3795366359322028</v>
      </c>
      <c r="T83">
        <f t="shared" si="16"/>
        <v>18.638157810316148</v>
      </c>
      <c r="V83" s="2">
        <f t="shared" si="39"/>
        <v>43</v>
      </c>
      <c r="W83">
        <f t="shared" si="37"/>
        <v>3.5048496264406777</v>
      </c>
      <c r="Y83">
        <f t="shared" si="38"/>
        <v>12.14304220975143</v>
      </c>
    </row>
    <row r="84" spans="1:25" x14ac:dyDescent="0.25">
      <c r="A84" s="1">
        <v>82000</v>
      </c>
      <c r="B84" s="2">
        <v>160</v>
      </c>
      <c r="C84" s="5">
        <f>(B83-B85)/2</f>
        <v>4.5</v>
      </c>
      <c r="E84" s="4">
        <f t="shared" si="23"/>
        <v>0.4632768361581921</v>
      </c>
      <c r="F84">
        <f t="shared" si="24"/>
        <v>9.8955932203389825</v>
      </c>
      <c r="G84">
        <f t="shared" si="25"/>
        <v>371.31481830508466</v>
      </c>
      <c r="H84">
        <f t="shared" si="26"/>
        <v>0.37131481830508467</v>
      </c>
      <c r="I84" s="2">
        <f t="shared" si="29"/>
        <v>3</v>
      </c>
      <c r="K84">
        <f t="shared" si="30"/>
        <v>0.24754321220338982</v>
      </c>
      <c r="L84" s="2">
        <f t="shared" si="31"/>
        <v>12</v>
      </c>
      <c r="M84">
        <f t="shared" si="32"/>
        <v>0.99017284881355927</v>
      </c>
      <c r="O84" s="2">
        <f t="shared" si="35"/>
        <v>18</v>
      </c>
      <c r="P84">
        <f t="shared" si="34"/>
        <v>1.4852592732203389</v>
      </c>
      <c r="R84" s="2">
        <f t="shared" si="14"/>
        <v>56</v>
      </c>
      <c r="S84">
        <f t="shared" si="15"/>
        <v>4.6208066277966111</v>
      </c>
      <c r="T84">
        <f t="shared" si="16"/>
        <v>16.009431474929251</v>
      </c>
      <c r="V84" s="2">
        <f t="shared" si="39"/>
        <v>33</v>
      </c>
      <c r="W84">
        <f t="shared" si="37"/>
        <v>2.7229753342372884</v>
      </c>
      <c r="Y84">
        <f t="shared" si="38"/>
        <v>9.4341292620118811</v>
      </c>
    </row>
    <row r="85" spans="1:25" x14ac:dyDescent="0.25">
      <c r="A85" s="1">
        <v>83000</v>
      </c>
      <c r="B85" s="2">
        <v>149</v>
      </c>
      <c r="C85" s="2">
        <f t="shared" si="22"/>
        <v>11</v>
      </c>
      <c r="E85" s="4">
        <f t="shared" si="23"/>
        <v>0.46892655367231639</v>
      </c>
      <c r="F85">
        <f t="shared" si="24"/>
        <v>10.016271186440678</v>
      </c>
      <c r="G85" s="6">
        <f t="shared" si="25"/>
        <v>918.72745016949148</v>
      </c>
      <c r="H85">
        <f t="shared" si="26"/>
        <v>0.91872745016949142</v>
      </c>
      <c r="I85" s="2">
        <f t="shared" si="29"/>
        <v>4</v>
      </c>
      <c r="K85">
        <f t="shared" si="30"/>
        <v>0.33408270915254235</v>
      </c>
      <c r="L85" s="2">
        <f t="shared" si="31"/>
        <v>22</v>
      </c>
      <c r="M85">
        <f t="shared" si="32"/>
        <v>1.8374549003389828</v>
      </c>
      <c r="O85" s="2">
        <f t="shared" si="35"/>
        <v>28</v>
      </c>
      <c r="P85">
        <f t="shared" si="34"/>
        <v>2.3385789640677968</v>
      </c>
      <c r="R85" s="2">
        <f t="shared" ref="R85" si="40">B66-B85</f>
        <v>62</v>
      </c>
      <c r="S85">
        <f t="shared" ref="S85:S148" si="41">(1000*9.81*F85*R85*0.85)/1000000</f>
        <v>5.1782819918644067</v>
      </c>
      <c r="T85">
        <f t="shared" ref="T85:T148" si="42">(S85*8640*0.401)/1000</f>
        <v>17.940882920293102</v>
      </c>
      <c r="V85" s="2">
        <f t="shared" si="39"/>
        <v>45</v>
      </c>
      <c r="W85">
        <f t="shared" si="37"/>
        <v>3.7584304779661015</v>
      </c>
      <c r="Y85">
        <f t="shared" si="38"/>
        <v>13.021608571180476</v>
      </c>
    </row>
    <row r="86" spans="1:25" x14ac:dyDescent="0.25">
      <c r="A86" s="1">
        <v>84000</v>
      </c>
      <c r="B86" s="2">
        <v>156</v>
      </c>
      <c r="C86" s="2">
        <f t="shared" si="22"/>
        <v>-7</v>
      </c>
      <c r="E86" s="4">
        <f t="shared" si="23"/>
        <v>0.47457627118644069</v>
      </c>
      <c r="F86">
        <f t="shared" si="24"/>
        <v>10.136949152542373</v>
      </c>
      <c r="G86">
        <f t="shared" si="25"/>
        <v>-591.68865355932212</v>
      </c>
      <c r="H86">
        <f t="shared" si="26"/>
        <v>-0.5916886535593221</v>
      </c>
      <c r="I86" s="2">
        <f t="shared" si="29"/>
        <v>2</v>
      </c>
      <c r="K86">
        <f t="shared" si="30"/>
        <v>0.16905390101694914</v>
      </c>
      <c r="L86" s="2">
        <f t="shared" si="31"/>
        <v>8</v>
      </c>
      <c r="M86">
        <f t="shared" si="32"/>
        <v>0.67621560406779657</v>
      </c>
      <c r="O86" s="2">
        <f t="shared" si="35"/>
        <v>16</v>
      </c>
      <c r="P86">
        <f t="shared" si="34"/>
        <v>1.3524312081355931</v>
      </c>
      <c r="R86" s="2">
        <f t="shared" ref="R86:R149" si="43">B67-B86</f>
        <v>51</v>
      </c>
      <c r="S86">
        <f t="shared" si="41"/>
        <v>4.310874475932204</v>
      </c>
      <c r="T86">
        <f t="shared" si="42"/>
        <v>14.935628144293753</v>
      </c>
      <c r="V86" s="2">
        <f t="shared" si="39"/>
        <v>35</v>
      </c>
      <c r="W86">
        <f t="shared" si="37"/>
        <v>2.9584432677966106</v>
      </c>
      <c r="Y86">
        <f t="shared" si="38"/>
        <v>10.24994088333885</v>
      </c>
    </row>
    <row r="87" spans="1:25" x14ac:dyDescent="0.25">
      <c r="A87" s="1">
        <v>85000</v>
      </c>
      <c r="B87" s="2">
        <v>148</v>
      </c>
      <c r="C87" s="2">
        <f t="shared" si="22"/>
        <v>8</v>
      </c>
      <c r="E87" s="4">
        <f t="shared" si="23"/>
        <v>0.48022598870056499</v>
      </c>
      <c r="F87">
        <f t="shared" si="24"/>
        <v>10.257627118644068</v>
      </c>
      <c r="G87">
        <f t="shared" si="25"/>
        <v>684.26578983050842</v>
      </c>
      <c r="H87">
        <f t="shared" si="26"/>
        <v>0.68426578983050845</v>
      </c>
      <c r="I87" s="2">
        <f t="shared" si="29"/>
        <v>12</v>
      </c>
      <c r="K87">
        <f t="shared" si="30"/>
        <v>1.0263986847457627</v>
      </c>
      <c r="L87" s="2">
        <f t="shared" si="31"/>
        <v>17</v>
      </c>
      <c r="M87">
        <f t="shared" si="32"/>
        <v>1.4540648033898305</v>
      </c>
      <c r="O87" s="2">
        <f t="shared" si="35"/>
        <v>23</v>
      </c>
      <c r="P87">
        <f t="shared" si="34"/>
        <v>1.967264145762712</v>
      </c>
      <c r="R87" s="2">
        <f t="shared" si="43"/>
        <v>56</v>
      </c>
      <c r="S87">
        <f t="shared" si="41"/>
        <v>4.7898605288135592</v>
      </c>
      <c r="T87">
        <f t="shared" si="42"/>
        <v>16.595142382548609</v>
      </c>
      <c r="V87" s="2">
        <f t="shared" si="39"/>
        <v>34</v>
      </c>
      <c r="W87">
        <f t="shared" si="37"/>
        <v>2.9081296067796609</v>
      </c>
      <c r="Y87">
        <f t="shared" si="38"/>
        <v>10.075622160833085</v>
      </c>
    </row>
    <row r="88" spans="1:25" x14ac:dyDescent="0.25">
      <c r="A88" s="1">
        <v>86000</v>
      </c>
      <c r="B88" s="2">
        <v>147</v>
      </c>
      <c r="C88" s="2">
        <f t="shared" si="22"/>
        <v>1</v>
      </c>
      <c r="E88" s="4">
        <f t="shared" si="23"/>
        <v>0.48587570621468928</v>
      </c>
      <c r="F88">
        <f t="shared" si="24"/>
        <v>10.378305084745763</v>
      </c>
      <c r="G88">
        <f t="shared" si="25"/>
        <v>86.539496949152536</v>
      </c>
      <c r="H88">
        <f t="shared" si="26"/>
        <v>8.6539496949152542E-2</v>
      </c>
      <c r="I88" s="2">
        <f t="shared" si="29"/>
        <v>2</v>
      </c>
      <c r="K88">
        <f t="shared" si="30"/>
        <v>0.17307899389830511</v>
      </c>
      <c r="L88" s="2">
        <f t="shared" si="31"/>
        <v>16</v>
      </c>
      <c r="M88">
        <f t="shared" si="32"/>
        <v>1.3846319511864409</v>
      </c>
      <c r="O88" s="2">
        <f t="shared" si="35"/>
        <v>17</v>
      </c>
      <c r="P88">
        <f t="shared" si="34"/>
        <v>1.4711714481355935</v>
      </c>
      <c r="R88" s="2">
        <f t="shared" si="43"/>
        <v>54</v>
      </c>
      <c r="S88">
        <f t="shared" si="41"/>
        <v>4.6731328352542381</v>
      </c>
      <c r="T88">
        <f t="shared" si="42"/>
        <v>16.190722946335242</v>
      </c>
      <c r="V88" s="2">
        <f t="shared" si="39"/>
        <v>36</v>
      </c>
      <c r="W88">
        <f t="shared" si="37"/>
        <v>3.1154218901694919</v>
      </c>
      <c r="Y88">
        <f t="shared" si="38"/>
        <v>10.793815297556828</v>
      </c>
    </row>
    <row r="89" spans="1:25" x14ac:dyDescent="0.25">
      <c r="A89" s="1">
        <v>87000</v>
      </c>
      <c r="B89" s="2">
        <v>143</v>
      </c>
      <c r="C89" s="2">
        <f t="shared" si="22"/>
        <v>4</v>
      </c>
      <c r="E89" s="4">
        <f t="shared" si="23"/>
        <v>0.49152542372881358</v>
      </c>
      <c r="F89">
        <f t="shared" si="24"/>
        <v>10.498983050847459</v>
      </c>
      <c r="G89">
        <f t="shared" si="25"/>
        <v>350.18308067796619</v>
      </c>
      <c r="H89">
        <f t="shared" si="26"/>
        <v>0.35018308067796616</v>
      </c>
      <c r="I89" s="2">
        <f t="shared" si="29"/>
        <v>13</v>
      </c>
      <c r="K89">
        <f t="shared" si="30"/>
        <v>1.1380950122033897</v>
      </c>
      <c r="L89" s="2">
        <f t="shared" si="31"/>
        <v>10</v>
      </c>
      <c r="M89">
        <f t="shared" si="32"/>
        <v>0.87545770169491532</v>
      </c>
      <c r="O89" s="2">
        <f t="shared" si="35"/>
        <v>22</v>
      </c>
      <c r="P89">
        <f t="shared" si="34"/>
        <v>1.9260069437288136</v>
      </c>
      <c r="R89" s="2">
        <f t="shared" si="43"/>
        <v>50</v>
      </c>
      <c r="S89">
        <f t="shared" si="41"/>
        <v>4.3772885084745763</v>
      </c>
      <c r="T89">
        <f t="shared" si="42"/>
        <v>15.165728858001355</v>
      </c>
      <c r="V89" s="2">
        <f t="shared" si="39"/>
        <v>35</v>
      </c>
      <c r="W89">
        <f t="shared" si="37"/>
        <v>3.0641019559322031</v>
      </c>
      <c r="Y89">
        <f t="shared" si="38"/>
        <v>10.616010200600948</v>
      </c>
    </row>
    <row r="90" spans="1:25" x14ac:dyDescent="0.25">
      <c r="A90" s="1">
        <v>88000</v>
      </c>
      <c r="B90" s="2">
        <v>141</v>
      </c>
      <c r="C90" s="2">
        <f t="shared" si="22"/>
        <v>2</v>
      </c>
      <c r="E90" s="4">
        <f t="shared" si="23"/>
        <v>0.49717514124293788</v>
      </c>
      <c r="F90">
        <f t="shared" si="24"/>
        <v>10.619661016949152</v>
      </c>
      <c r="G90">
        <f t="shared" si="25"/>
        <v>177.104086779661</v>
      </c>
      <c r="H90">
        <f t="shared" si="26"/>
        <v>0.177104086779661</v>
      </c>
      <c r="I90" s="2">
        <f t="shared" si="29"/>
        <v>7</v>
      </c>
      <c r="K90">
        <f t="shared" si="30"/>
        <v>0.61986430372881351</v>
      </c>
      <c r="L90" s="2">
        <f t="shared" si="31"/>
        <v>17</v>
      </c>
      <c r="M90">
        <f t="shared" si="32"/>
        <v>1.5053847376271186</v>
      </c>
      <c r="O90" s="2">
        <f t="shared" si="35"/>
        <v>22</v>
      </c>
      <c r="P90">
        <f t="shared" si="34"/>
        <v>1.9481449545762708</v>
      </c>
      <c r="R90" s="2">
        <f t="shared" si="43"/>
        <v>53</v>
      </c>
      <c r="S90">
        <f t="shared" si="41"/>
        <v>4.6932582996610162</v>
      </c>
      <c r="T90">
        <f t="shared" si="42"/>
        <v>16.260450435337543</v>
      </c>
      <c r="V90" s="2">
        <f t="shared" si="39"/>
        <v>36</v>
      </c>
      <c r="W90">
        <f t="shared" si="37"/>
        <v>3.1878735620338978</v>
      </c>
      <c r="Y90">
        <f t="shared" si="38"/>
        <v>11.044834257965123</v>
      </c>
    </row>
    <row r="91" spans="1:25" x14ac:dyDescent="0.25">
      <c r="A91" s="1">
        <v>89000</v>
      </c>
      <c r="B91" s="2">
        <v>138</v>
      </c>
      <c r="C91" s="2">
        <f t="shared" si="22"/>
        <v>3</v>
      </c>
      <c r="E91" s="4">
        <f t="shared" si="23"/>
        <v>0.50282485875706218</v>
      </c>
      <c r="F91">
        <f t="shared" si="24"/>
        <v>10.740338983050847</v>
      </c>
      <c r="G91">
        <f t="shared" si="25"/>
        <v>268.67494983050852</v>
      </c>
      <c r="H91">
        <f t="shared" si="26"/>
        <v>0.26867494983050855</v>
      </c>
      <c r="I91" s="2">
        <f t="shared" si="29"/>
        <v>9</v>
      </c>
      <c r="K91">
        <f t="shared" si="30"/>
        <v>0.80602484949152542</v>
      </c>
      <c r="L91" s="2">
        <f t="shared" si="31"/>
        <v>22</v>
      </c>
      <c r="M91">
        <f t="shared" si="32"/>
        <v>1.9702829654237288</v>
      </c>
      <c r="O91" s="2">
        <f t="shared" si="35"/>
        <v>15</v>
      </c>
      <c r="P91">
        <f t="shared" si="34"/>
        <v>1.3433747491525423</v>
      </c>
      <c r="R91" s="2">
        <f t="shared" si="43"/>
        <v>53</v>
      </c>
      <c r="S91">
        <f t="shared" si="41"/>
        <v>4.7465907803389831</v>
      </c>
      <c r="T91">
        <f t="shared" si="42"/>
        <v>16.445228281193657</v>
      </c>
      <c r="V91" s="2">
        <f t="shared" si="39"/>
        <v>34</v>
      </c>
      <c r="W91">
        <f t="shared" si="37"/>
        <v>3.0449827647457628</v>
      </c>
      <c r="Y91">
        <f t="shared" si="38"/>
        <v>10.549769086048761</v>
      </c>
    </row>
    <row r="92" spans="1:25" x14ac:dyDescent="0.25">
      <c r="A92" s="1">
        <v>90000</v>
      </c>
      <c r="B92" s="2">
        <v>144</v>
      </c>
      <c r="C92" s="2">
        <f t="shared" si="22"/>
        <v>-6</v>
      </c>
      <c r="E92" s="4">
        <f t="shared" si="23"/>
        <v>0.50847457627118642</v>
      </c>
      <c r="F92">
        <f t="shared" si="24"/>
        <v>10.861016949152541</v>
      </c>
      <c r="G92">
        <f t="shared" si="25"/>
        <v>-543.38753898305072</v>
      </c>
      <c r="H92">
        <f t="shared" si="26"/>
        <v>-0.5433875389830507</v>
      </c>
      <c r="I92" s="2">
        <f t="shared" si="29"/>
        <v>-1</v>
      </c>
      <c r="K92">
        <f t="shared" si="30"/>
        <v>-9.0564589830508455E-2</v>
      </c>
      <c r="L92" s="2">
        <f t="shared" si="31"/>
        <v>5</v>
      </c>
      <c r="M92">
        <f t="shared" si="32"/>
        <v>0.45282294915254229</v>
      </c>
      <c r="O92" s="2">
        <f t="shared" si="35"/>
        <v>14</v>
      </c>
      <c r="P92">
        <f t="shared" si="34"/>
        <v>1.2679042576271184</v>
      </c>
      <c r="R92" s="2">
        <f t="shared" si="43"/>
        <v>38</v>
      </c>
      <c r="S92">
        <f t="shared" si="41"/>
        <v>3.4414544135593212</v>
      </c>
      <c r="T92">
        <f t="shared" si="42"/>
        <v>11.923400619394167</v>
      </c>
      <c r="V92" s="2">
        <f t="shared" si="39"/>
        <v>27</v>
      </c>
      <c r="W92">
        <f t="shared" si="37"/>
        <v>2.4452439254237284</v>
      </c>
      <c r="Y92">
        <f t="shared" si="38"/>
        <v>8.4718899137800676</v>
      </c>
    </row>
    <row r="93" spans="1:25" x14ac:dyDescent="0.25">
      <c r="A93" s="1">
        <v>91000</v>
      </c>
      <c r="B93" s="2">
        <v>130</v>
      </c>
      <c r="C93" s="2">
        <f t="shared" si="22"/>
        <v>14</v>
      </c>
      <c r="E93" s="4">
        <f t="shared" si="23"/>
        <v>0.51412429378531077</v>
      </c>
      <c r="F93">
        <f t="shared" si="24"/>
        <v>10.981694915254238</v>
      </c>
      <c r="G93" s="6">
        <f t="shared" si="25"/>
        <v>1281.9920827118644</v>
      </c>
      <c r="H93">
        <f t="shared" si="26"/>
        <v>1.2819920827118645</v>
      </c>
      <c r="I93" s="2">
        <f t="shared" si="29"/>
        <v>11</v>
      </c>
      <c r="K93">
        <f t="shared" si="30"/>
        <v>1.0072794935593221</v>
      </c>
      <c r="L93" s="2">
        <f t="shared" si="31"/>
        <v>26</v>
      </c>
      <c r="M93">
        <f t="shared" si="32"/>
        <v>2.3808424393220342</v>
      </c>
      <c r="O93" s="2">
        <f t="shared" si="35"/>
        <v>30</v>
      </c>
      <c r="P93">
        <f t="shared" si="34"/>
        <v>2.7471258915254237</v>
      </c>
      <c r="R93" s="2">
        <f t="shared" si="43"/>
        <v>53</v>
      </c>
      <c r="S93">
        <f t="shared" si="41"/>
        <v>4.853255741694916</v>
      </c>
      <c r="T93">
        <f t="shared" si="42"/>
        <v>16.814783972905875</v>
      </c>
      <c r="V93" s="2">
        <f t="shared" si="39"/>
        <v>34</v>
      </c>
      <c r="W93">
        <f t="shared" si="37"/>
        <v>3.1134093437288137</v>
      </c>
      <c r="Y93">
        <f t="shared" si="38"/>
        <v>10.786842548656598</v>
      </c>
    </row>
    <row r="94" spans="1:25" x14ac:dyDescent="0.25">
      <c r="A94" s="1">
        <v>92000</v>
      </c>
      <c r="B94" s="2">
        <v>136</v>
      </c>
      <c r="C94" s="2">
        <f t="shared" si="22"/>
        <v>-6</v>
      </c>
      <c r="E94" s="4">
        <f t="shared" si="23"/>
        <v>0.51977401129943501</v>
      </c>
      <c r="F94">
        <f t="shared" si="24"/>
        <v>11.102372881355931</v>
      </c>
      <c r="G94">
        <f t="shared" si="25"/>
        <v>-555.46281762711862</v>
      </c>
      <c r="H94">
        <f t="shared" si="26"/>
        <v>-0.55546281762711858</v>
      </c>
      <c r="I94" s="2">
        <f t="shared" si="29"/>
        <v>2</v>
      </c>
      <c r="K94">
        <f t="shared" si="30"/>
        <v>0.18515427254237288</v>
      </c>
      <c r="L94" s="2">
        <f t="shared" si="31"/>
        <v>12</v>
      </c>
      <c r="M94">
        <f t="shared" si="32"/>
        <v>1.1109256352542374</v>
      </c>
      <c r="O94" s="2">
        <f t="shared" si="35"/>
        <v>13</v>
      </c>
      <c r="P94">
        <f t="shared" si="34"/>
        <v>1.2035027715254238</v>
      </c>
      <c r="R94" s="2">
        <f t="shared" si="43"/>
        <v>42</v>
      </c>
      <c r="S94">
        <f t="shared" si="41"/>
        <v>3.8882397233898294</v>
      </c>
      <c r="T94">
        <f t="shared" si="42"/>
        <v>13.47135087524534</v>
      </c>
      <c r="V94" s="2">
        <f t="shared" si="39"/>
        <v>29</v>
      </c>
      <c r="W94">
        <f t="shared" si="37"/>
        <v>2.6847369518644064</v>
      </c>
      <c r="Y94">
        <f t="shared" si="38"/>
        <v>9.3016470329074981</v>
      </c>
    </row>
    <row r="95" spans="1:25" x14ac:dyDescent="0.25">
      <c r="A95" s="1">
        <v>93000</v>
      </c>
      <c r="B95" s="2">
        <v>136</v>
      </c>
      <c r="C95" s="2">
        <f t="shared" si="22"/>
        <v>0</v>
      </c>
      <c r="E95" s="4">
        <f t="shared" si="23"/>
        <v>0.52542372881355937</v>
      </c>
      <c r="F95">
        <f t="shared" si="24"/>
        <v>11.223050847457628</v>
      </c>
      <c r="G95">
        <f t="shared" si="25"/>
        <v>0</v>
      </c>
      <c r="H95">
        <f t="shared" si="26"/>
        <v>0</v>
      </c>
      <c r="I95" s="2">
        <f t="shared" si="29"/>
        <v>8</v>
      </c>
      <c r="K95">
        <f t="shared" si="30"/>
        <v>0.7486672759322035</v>
      </c>
      <c r="L95" s="2">
        <f t="shared" si="31"/>
        <v>11</v>
      </c>
      <c r="M95">
        <f t="shared" si="32"/>
        <v>1.0294175044067797</v>
      </c>
      <c r="O95" s="2">
        <f t="shared" si="35"/>
        <v>20</v>
      </c>
      <c r="P95">
        <f t="shared" si="34"/>
        <v>1.8716681898305085</v>
      </c>
      <c r="R95" s="2">
        <f t="shared" si="43"/>
        <v>41</v>
      </c>
      <c r="S95">
        <f t="shared" si="41"/>
        <v>3.8369197891525424</v>
      </c>
      <c r="T95">
        <f t="shared" si="42"/>
        <v>13.293545778289465</v>
      </c>
      <c r="V95" s="2">
        <f t="shared" si="39"/>
        <v>27</v>
      </c>
      <c r="W95">
        <f t="shared" si="37"/>
        <v>2.5267520562711865</v>
      </c>
      <c r="Y95">
        <f t="shared" si="38"/>
        <v>8.7542862442394043</v>
      </c>
    </row>
    <row r="96" spans="1:25" x14ac:dyDescent="0.25">
      <c r="A96" s="1">
        <v>94000</v>
      </c>
      <c r="B96" s="2">
        <v>128</v>
      </c>
      <c r="C96" s="2">
        <f t="shared" si="22"/>
        <v>8</v>
      </c>
      <c r="E96" s="4">
        <f t="shared" si="23"/>
        <v>0.53107344632768361</v>
      </c>
      <c r="F96">
        <f t="shared" si="24"/>
        <v>11.343728813559322</v>
      </c>
      <c r="G96">
        <f t="shared" si="25"/>
        <v>756.71746169491541</v>
      </c>
      <c r="H96">
        <f t="shared" si="26"/>
        <v>0.75671746169491538</v>
      </c>
      <c r="I96" s="2">
        <f t="shared" si="29"/>
        <v>2</v>
      </c>
      <c r="K96">
        <f t="shared" si="30"/>
        <v>0.18917936542372879</v>
      </c>
      <c r="L96" s="2">
        <f t="shared" si="31"/>
        <v>15</v>
      </c>
      <c r="M96">
        <f t="shared" si="32"/>
        <v>1.4188452406779661</v>
      </c>
      <c r="O96" s="2">
        <f t="shared" si="35"/>
        <v>20</v>
      </c>
      <c r="P96">
        <f t="shared" si="34"/>
        <v>1.8917936542372877</v>
      </c>
      <c r="R96" s="2">
        <f t="shared" si="43"/>
        <v>44</v>
      </c>
      <c r="S96">
        <f t="shared" si="41"/>
        <v>4.1619460393220331</v>
      </c>
      <c r="T96">
        <f t="shared" si="42"/>
        <v>14.41964472567669</v>
      </c>
      <c r="V96" s="2">
        <f t="shared" si="39"/>
        <v>25</v>
      </c>
      <c r="W96">
        <f t="shared" si="37"/>
        <v>2.3647420677966102</v>
      </c>
      <c r="Y96">
        <f t="shared" si="38"/>
        <v>8.1929799577708486</v>
      </c>
    </row>
    <row r="97" spans="1:25" x14ac:dyDescent="0.25">
      <c r="A97" s="1">
        <v>95000</v>
      </c>
      <c r="B97" s="2">
        <v>124</v>
      </c>
      <c r="C97" s="2">
        <f t="shared" si="22"/>
        <v>4</v>
      </c>
      <c r="E97" s="4">
        <f t="shared" si="23"/>
        <v>0.53672316384180796</v>
      </c>
      <c r="F97">
        <f t="shared" si="24"/>
        <v>11.464406779661017</v>
      </c>
      <c r="G97">
        <f t="shared" si="25"/>
        <v>382.38382372881358</v>
      </c>
      <c r="H97">
        <f t="shared" si="26"/>
        <v>0.38238382372881358</v>
      </c>
      <c r="I97" s="2">
        <f t="shared" si="29"/>
        <v>12</v>
      </c>
      <c r="K97">
        <f t="shared" si="30"/>
        <v>1.1471514711864406</v>
      </c>
      <c r="L97" s="2">
        <f t="shared" si="31"/>
        <v>17</v>
      </c>
      <c r="M97">
        <f t="shared" si="32"/>
        <v>1.6251312508474576</v>
      </c>
      <c r="O97" s="2">
        <f t="shared" si="35"/>
        <v>23</v>
      </c>
      <c r="P97">
        <f t="shared" si="34"/>
        <v>2.1987069864406781</v>
      </c>
      <c r="R97" s="2">
        <f t="shared" si="43"/>
        <v>47</v>
      </c>
      <c r="S97">
        <f t="shared" si="41"/>
        <v>4.4930099288135592</v>
      </c>
      <c r="T97">
        <f t="shared" si="42"/>
        <v>15.566661919764609</v>
      </c>
      <c r="V97" s="2">
        <f t="shared" si="39"/>
        <v>34</v>
      </c>
      <c r="W97">
        <f t="shared" si="37"/>
        <v>3.2502625016949152</v>
      </c>
      <c r="Y97">
        <f t="shared" si="38"/>
        <v>11.26098947387227</v>
      </c>
    </row>
    <row r="98" spans="1:25" x14ac:dyDescent="0.25">
      <c r="A98" s="1">
        <v>96000</v>
      </c>
      <c r="B98" s="2">
        <v>124</v>
      </c>
      <c r="C98" s="2">
        <f t="shared" si="22"/>
        <v>0</v>
      </c>
      <c r="E98" s="4">
        <f t="shared" si="23"/>
        <v>0.5423728813559322</v>
      </c>
      <c r="F98">
        <f t="shared" si="24"/>
        <v>11.585084745762712</v>
      </c>
      <c r="G98">
        <f t="shared" si="25"/>
        <v>0</v>
      </c>
      <c r="H98">
        <f t="shared" si="26"/>
        <v>0</v>
      </c>
      <c r="I98" s="2">
        <f t="shared" si="29"/>
        <v>12</v>
      </c>
      <c r="K98">
        <f t="shared" si="30"/>
        <v>1.1592267498305084</v>
      </c>
      <c r="L98" s="2">
        <f t="shared" si="31"/>
        <v>14</v>
      </c>
      <c r="M98">
        <f t="shared" si="32"/>
        <v>1.3524312081355929</v>
      </c>
      <c r="O98" s="2">
        <f t="shared" si="35"/>
        <v>19</v>
      </c>
      <c r="P98">
        <f t="shared" si="34"/>
        <v>1.8354423538983051</v>
      </c>
      <c r="R98" s="2">
        <f t="shared" si="43"/>
        <v>40</v>
      </c>
      <c r="S98">
        <f t="shared" si="41"/>
        <v>3.8640891661016949</v>
      </c>
      <c r="T98">
        <f t="shared" si="42"/>
        <v>13.387677888442578</v>
      </c>
      <c r="V98" s="2">
        <f t="shared" si="39"/>
        <v>36</v>
      </c>
      <c r="W98">
        <f t="shared" si="37"/>
        <v>3.4776802494915255</v>
      </c>
      <c r="Y98">
        <f t="shared" si="38"/>
        <v>12.04891009959832</v>
      </c>
    </row>
    <row r="99" spans="1:25" x14ac:dyDescent="0.25">
      <c r="A99" s="1">
        <v>97000</v>
      </c>
      <c r="B99" s="2">
        <v>118</v>
      </c>
      <c r="C99" s="2">
        <f t="shared" si="22"/>
        <v>6</v>
      </c>
      <c r="E99" s="4">
        <f t="shared" si="23"/>
        <v>0.54802259887005644</v>
      </c>
      <c r="F99">
        <f t="shared" si="24"/>
        <v>11.705762711864406</v>
      </c>
      <c r="G99">
        <f t="shared" si="25"/>
        <v>585.65101423728811</v>
      </c>
      <c r="H99">
        <f t="shared" si="26"/>
        <v>0.58565101423728816</v>
      </c>
      <c r="I99" s="2">
        <f t="shared" si="29"/>
        <v>10</v>
      </c>
      <c r="K99">
        <f t="shared" si="30"/>
        <v>0.97608502372881334</v>
      </c>
      <c r="L99" s="2">
        <f t="shared" si="31"/>
        <v>26</v>
      </c>
      <c r="M99">
        <f t="shared" si="32"/>
        <v>2.5378210616949155</v>
      </c>
      <c r="O99" s="2">
        <f t="shared" si="35"/>
        <v>23</v>
      </c>
      <c r="P99">
        <f t="shared" si="34"/>
        <v>2.2449955545762705</v>
      </c>
      <c r="R99" s="2">
        <f t="shared" si="43"/>
        <v>47</v>
      </c>
      <c r="S99">
        <f t="shared" si="41"/>
        <v>4.5875996115254241</v>
      </c>
      <c r="T99">
        <f t="shared" si="42"/>
        <v>15.894381118075446</v>
      </c>
      <c r="V99" s="2">
        <f t="shared" si="39"/>
        <v>31</v>
      </c>
      <c r="W99">
        <f t="shared" si="37"/>
        <v>3.025863573559322</v>
      </c>
      <c r="Y99">
        <f t="shared" si="38"/>
        <v>10.483527971496569</v>
      </c>
    </row>
    <row r="100" spans="1:25" x14ac:dyDescent="0.25">
      <c r="A100" s="1">
        <v>98000</v>
      </c>
      <c r="B100" s="2">
        <v>114</v>
      </c>
      <c r="C100" s="2">
        <f t="shared" si="22"/>
        <v>4</v>
      </c>
      <c r="E100" s="4">
        <f t="shared" si="23"/>
        <v>0.5536723163841808</v>
      </c>
      <c r="F100">
        <f t="shared" si="24"/>
        <v>11.826440677966101</v>
      </c>
      <c r="G100">
        <f t="shared" si="25"/>
        <v>394.45910237288132</v>
      </c>
      <c r="H100">
        <f t="shared" si="26"/>
        <v>0.39445910237288134</v>
      </c>
      <c r="I100" s="2">
        <f t="shared" si="29"/>
        <v>10</v>
      </c>
      <c r="K100">
        <f t="shared" si="30"/>
        <v>0.98614775593220327</v>
      </c>
      <c r="L100" s="2">
        <f t="shared" si="31"/>
        <v>16</v>
      </c>
      <c r="M100">
        <f t="shared" si="32"/>
        <v>1.5778364094915254</v>
      </c>
      <c r="O100" s="2">
        <f t="shared" si="35"/>
        <v>24</v>
      </c>
      <c r="P100">
        <f t="shared" si="34"/>
        <v>2.3667546142372879</v>
      </c>
      <c r="R100" s="2">
        <f t="shared" si="43"/>
        <v>49</v>
      </c>
      <c r="S100">
        <f t="shared" si="41"/>
        <v>4.8321240040677962</v>
      </c>
      <c r="T100">
        <f t="shared" si="42"/>
        <v>16.741570109453452</v>
      </c>
      <c r="V100" s="2">
        <f t="shared" si="39"/>
        <v>42</v>
      </c>
      <c r="W100">
        <f t="shared" si="37"/>
        <v>4.1418205749152532</v>
      </c>
      <c r="Y100">
        <f t="shared" si="38"/>
        <v>14.349917236674385</v>
      </c>
    </row>
    <row r="101" spans="1:25" x14ac:dyDescent="0.25">
      <c r="A101" s="1">
        <v>99000</v>
      </c>
      <c r="B101" s="2">
        <v>125</v>
      </c>
      <c r="C101" s="5">
        <f>(B100-B102)/2</f>
        <v>1.5</v>
      </c>
      <c r="E101" s="4">
        <f t="shared" si="23"/>
        <v>0.55932203389830504</v>
      </c>
      <c r="F101">
        <f t="shared" si="24"/>
        <v>11.947118644067796</v>
      </c>
      <c r="G101">
        <f t="shared" si="25"/>
        <v>149.43157322033898</v>
      </c>
      <c r="H101">
        <f t="shared" si="26"/>
        <v>0.14943157322033898</v>
      </c>
      <c r="I101" s="2">
        <f t="shared" si="29"/>
        <v>-1</v>
      </c>
      <c r="K101">
        <f t="shared" si="30"/>
        <v>-9.9621048813559321E-2</v>
      </c>
      <c r="L101" s="2">
        <f t="shared" si="31"/>
        <v>11</v>
      </c>
      <c r="M101">
        <f t="shared" si="32"/>
        <v>1.0958315369491523</v>
      </c>
      <c r="O101" s="2">
        <f t="shared" si="35"/>
        <v>19</v>
      </c>
      <c r="P101">
        <f t="shared" si="34"/>
        <v>1.892799927457627</v>
      </c>
      <c r="R101" s="2">
        <f t="shared" si="43"/>
        <v>28</v>
      </c>
      <c r="S101">
        <f t="shared" si="41"/>
        <v>2.7893893667796608</v>
      </c>
      <c r="T101">
        <f t="shared" si="42"/>
        <v>9.6642299757194845</v>
      </c>
      <c r="V101" s="2">
        <f t="shared" si="39"/>
        <v>23</v>
      </c>
      <c r="W101">
        <f t="shared" si="37"/>
        <v>2.2912841227118643</v>
      </c>
      <c r="Y101">
        <f t="shared" si="38"/>
        <v>7.9384746229124339</v>
      </c>
    </row>
    <row r="102" spans="1:25" x14ac:dyDescent="0.25">
      <c r="A102" s="1">
        <v>100000</v>
      </c>
      <c r="B102" s="2">
        <v>111</v>
      </c>
      <c r="C102" s="2">
        <f t="shared" si="22"/>
        <v>14</v>
      </c>
      <c r="E102" s="4">
        <f t="shared" si="23"/>
        <v>0.56497175141242939</v>
      </c>
      <c r="F102">
        <f t="shared" si="24"/>
        <v>12.067796610169491</v>
      </c>
      <c r="G102" s="7">
        <f t="shared" si="25"/>
        <v>1408.7825084745764</v>
      </c>
      <c r="H102" s="7">
        <f t="shared" si="26"/>
        <v>1.4087825084745764</v>
      </c>
      <c r="I102" s="2">
        <f t="shared" si="29"/>
        <v>7</v>
      </c>
      <c r="K102">
        <f t="shared" si="30"/>
        <v>0.70439125423728799</v>
      </c>
      <c r="L102" s="2">
        <f t="shared" si="31"/>
        <v>25</v>
      </c>
      <c r="M102">
        <f t="shared" si="32"/>
        <v>2.5156830508474575</v>
      </c>
      <c r="O102" s="2">
        <f t="shared" si="35"/>
        <v>19</v>
      </c>
      <c r="P102">
        <f t="shared" si="34"/>
        <v>1.9119191186440676</v>
      </c>
      <c r="R102" s="2">
        <f t="shared" si="43"/>
        <v>47</v>
      </c>
      <c r="S102">
        <f t="shared" si="41"/>
        <v>4.7294841355932205</v>
      </c>
      <c r="T102">
        <f t="shared" si="42"/>
        <v>16.385959915541697</v>
      </c>
      <c r="V102" s="2">
        <f t="shared" si="39"/>
        <v>36</v>
      </c>
      <c r="W102">
        <f t="shared" si="37"/>
        <v>3.6225835932203392</v>
      </c>
      <c r="Y102">
        <f t="shared" si="38"/>
        <v>12.550948020414916</v>
      </c>
    </row>
    <row r="103" spans="1:25" x14ac:dyDescent="0.25">
      <c r="A103" s="1">
        <v>101000</v>
      </c>
      <c r="B103" s="2">
        <v>113</v>
      </c>
      <c r="C103" s="5">
        <f>(B102-B104)/2</f>
        <v>1.5</v>
      </c>
      <c r="E103" s="4">
        <f t="shared" si="23"/>
        <v>0.57062146892655363</v>
      </c>
      <c r="F103">
        <f t="shared" si="24"/>
        <v>12.188474576271185</v>
      </c>
      <c r="G103">
        <f t="shared" si="25"/>
        <v>152.45039288135592</v>
      </c>
      <c r="H103">
        <f t="shared" si="26"/>
        <v>0.15245039288135592</v>
      </c>
      <c r="I103" s="2">
        <f t="shared" si="29"/>
        <v>1</v>
      </c>
      <c r="K103">
        <f t="shared" si="30"/>
        <v>0.10163359525423726</v>
      </c>
      <c r="L103" s="2">
        <f t="shared" si="31"/>
        <v>15</v>
      </c>
      <c r="M103">
        <f t="shared" si="32"/>
        <v>1.5245039288135589</v>
      </c>
      <c r="O103" s="2">
        <f t="shared" si="35"/>
        <v>23</v>
      </c>
      <c r="P103">
        <f t="shared" si="34"/>
        <v>2.3375726908474572</v>
      </c>
      <c r="R103" s="2">
        <f t="shared" si="43"/>
        <v>47</v>
      </c>
      <c r="S103">
        <f t="shared" si="41"/>
        <v>4.776778976949152</v>
      </c>
      <c r="T103">
        <f t="shared" si="42"/>
        <v>16.549819514697113</v>
      </c>
      <c r="V103" s="2">
        <f t="shared" si="39"/>
        <v>30</v>
      </c>
      <c r="W103">
        <f t="shared" si="37"/>
        <v>3.0490078576271178</v>
      </c>
      <c r="Y103">
        <f t="shared" si="38"/>
        <v>10.563714583849217</v>
      </c>
    </row>
    <row r="104" spans="1:25" x14ac:dyDescent="0.25">
      <c r="A104" s="1">
        <v>102000</v>
      </c>
      <c r="B104" s="2">
        <v>108</v>
      </c>
      <c r="C104" s="2">
        <f t="shared" si="22"/>
        <v>5</v>
      </c>
      <c r="E104" s="4">
        <f t="shared" si="23"/>
        <v>0.57627118644067798</v>
      </c>
      <c r="F104">
        <f t="shared" si="24"/>
        <v>12.309152542372882</v>
      </c>
      <c r="G104">
        <f t="shared" si="25"/>
        <v>513.19934237288135</v>
      </c>
      <c r="H104">
        <f t="shared" si="26"/>
        <v>0.51319934237288134</v>
      </c>
      <c r="I104" s="2">
        <f t="shared" si="29"/>
        <v>17</v>
      </c>
      <c r="K104">
        <f t="shared" si="30"/>
        <v>1.7448777640677966</v>
      </c>
      <c r="L104" s="2">
        <f t="shared" si="31"/>
        <v>16</v>
      </c>
      <c r="M104">
        <f t="shared" si="32"/>
        <v>1.6422378955932204</v>
      </c>
      <c r="O104" s="2">
        <f t="shared" si="35"/>
        <v>28</v>
      </c>
      <c r="P104">
        <f t="shared" si="34"/>
        <v>2.8739163172881357</v>
      </c>
      <c r="R104" s="2">
        <f t="shared" si="43"/>
        <v>41</v>
      </c>
      <c r="S104">
        <f t="shared" si="41"/>
        <v>4.2082346074576265</v>
      </c>
      <c r="T104">
        <f t="shared" si="42"/>
        <v>14.580017950381993</v>
      </c>
      <c r="V104" s="2">
        <f t="shared" si="39"/>
        <v>33</v>
      </c>
      <c r="W104">
        <f t="shared" si="37"/>
        <v>3.387115659661017</v>
      </c>
      <c r="Y104">
        <f t="shared" si="38"/>
        <v>11.735136399087947</v>
      </c>
    </row>
    <row r="105" spans="1:25" x14ac:dyDescent="0.25">
      <c r="A105" s="1">
        <v>103000</v>
      </c>
      <c r="B105" s="2">
        <v>107</v>
      </c>
      <c r="C105" s="2">
        <f t="shared" si="22"/>
        <v>1</v>
      </c>
      <c r="E105" s="4">
        <f t="shared" si="23"/>
        <v>0.58192090395480223</v>
      </c>
      <c r="F105">
        <f t="shared" si="24"/>
        <v>12.429830508474575</v>
      </c>
      <c r="G105">
        <f t="shared" si="25"/>
        <v>103.64614169491524</v>
      </c>
      <c r="H105">
        <f t="shared" si="26"/>
        <v>0.10364614169491525</v>
      </c>
      <c r="I105" s="2">
        <f t="shared" si="29"/>
        <v>4</v>
      </c>
      <c r="K105">
        <f t="shared" si="30"/>
        <v>0.41458456677966093</v>
      </c>
      <c r="L105" s="2">
        <f t="shared" si="31"/>
        <v>17</v>
      </c>
      <c r="M105">
        <f t="shared" si="32"/>
        <v>1.761984408813559</v>
      </c>
      <c r="O105" s="2">
        <f t="shared" si="35"/>
        <v>21</v>
      </c>
      <c r="P105">
        <f t="shared" si="34"/>
        <v>2.17656897559322</v>
      </c>
      <c r="R105" s="2">
        <f t="shared" si="43"/>
        <v>49</v>
      </c>
      <c r="S105">
        <f t="shared" si="41"/>
        <v>5.0786609430508465</v>
      </c>
      <c r="T105">
        <f t="shared" si="42"/>
        <v>17.595731849731685</v>
      </c>
      <c r="V105" s="2">
        <f t="shared" si="39"/>
        <v>31</v>
      </c>
      <c r="W105">
        <f t="shared" si="37"/>
        <v>3.2130303925423727</v>
      </c>
      <c r="Y105">
        <f t="shared" si="38"/>
        <v>11.131993619218006</v>
      </c>
    </row>
    <row r="106" spans="1:25" x14ac:dyDescent="0.25">
      <c r="A106" s="1">
        <v>104000</v>
      </c>
      <c r="B106" s="2">
        <v>108</v>
      </c>
      <c r="C106" s="5">
        <f>(B105-B107)/2</f>
        <v>2</v>
      </c>
      <c r="E106" s="4">
        <f t="shared" si="23"/>
        <v>0.58757062146892658</v>
      </c>
      <c r="F106">
        <f t="shared" si="24"/>
        <v>12.550508474576272</v>
      </c>
      <c r="G106">
        <f t="shared" si="25"/>
        <v>209.30482983050851</v>
      </c>
      <c r="H106">
        <f t="shared" si="26"/>
        <v>0.20930482983050852</v>
      </c>
      <c r="I106" s="2">
        <f t="shared" si="29"/>
        <v>5</v>
      </c>
      <c r="K106">
        <f t="shared" si="30"/>
        <v>0.52326207457627116</v>
      </c>
      <c r="L106" s="2">
        <f t="shared" si="31"/>
        <v>10</v>
      </c>
      <c r="M106">
        <f t="shared" si="32"/>
        <v>1.0465241491525423</v>
      </c>
      <c r="O106" s="2">
        <f t="shared" si="35"/>
        <v>16</v>
      </c>
      <c r="P106">
        <f t="shared" si="34"/>
        <v>1.6744386386440677</v>
      </c>
      <c r="R106" s="2">
        <f t="shared" si="43"/>
        <v>40</v>
      </c>
      <c r="S106">
        <f t="shared" si="41"/>
        <v>4.1860965966101693</v>
      </c>
      <c r="T106">
        <f t="shared" si="42"/>
        <v>14.503317712479458</v>
      </c>
      <c r="V106" s="2">
        <f t="shared" si="39"/>
        <v>36</v>
      </c>
      <c r="W106">
        <f t="shared" si="37"/>
        <v>3.7674869369491524</v>
      </c>
      <c r="Y106">
        <f t="shared" si="38"/>
        <v>13.05298594123151</v>
      </c>
    </row>
    <row r="107" spans="1:25" x14ac:dyDescent="0.25">
      <c r="A107" s="1">
        <v>105000</v>
      </c>
      <c r="B107" s="2">
        <v>103</v>
      </c>
      <c r="C107" s="2">
        <f t="shared" si="22"/>
        <v>5</v>
      </c>
      <c r="E107" s="4">
        <f t="shared" si="23"/>
        <v>0.59322033898305082</v>
      </c>
      <c r="F107">
        <f t="shared" si="24"/>
        <v>12.671186440677966</v>
      </c>
      <c r="G107">
        <f t="shared" si="25"/>
        <v>528.29344067796615</v>
      </c>
      <c r="H107">
        <f t="shared" si="26"/>
        <v>0.52829344067796613</v>
      </c>
      <c r="I107" s="2">
        <f t="shared" si="29"/>
        <v>5</v>
      </c>
      <c r="K107">
        <f t="shared" si="30"/>
        <v>0.52829344067796613</v>
      </c>
      <c r="L107" s="2">
        <f t="shared" si="31"/>
        <v>11</v>
      </c>
      <c r="M107">
        <f t="shared" si="32"/>
        <v>1.1622455694915255</v>
      </c>
      <c r="O107" s="2">
        <f t="shared" si="35"/>
        <v>21</v>
      </c>
      <c r="P107">
        <f t="shared" si="34"/>
        <v>2.2188324508474571</v>
      </c>
      <c r="R107" s="2">
        <f t="shared" si="43"/>
        <v>44</v>
      </c>
      <c r="S107">
        <f t="shared" si="41"/>
        <v>4.6489822779661019</v>
      </c>
      <c r="T107">
        <f t="shared" si="42"/>
        <v>16.107049959532475</v>
      </c>
      <c r="V107" s="2">
        <f t="shared" si="39"/>
        <v>27</v>
      </c>
      <c r="W107">
        <f t="shared" si="37"/>
        <v>2.8527845796610167</v>
      </c>
      <c r="Y107">
        <f t="shared" si="38"/>
        <v>9.8838715660767456</v>
      </c>
    </row>
    <row r="108" spans="1:25" x14ac:dyDescent="0.25">
      <c r="A108" s="1">
        <v>106000</v>
      </c>
      <c r="B108" s="2">
        <v>98</v>
      </c>
      <c r="C108" s="2">
        <f t="shared" si="22"/>
        <v>5</v>
      </c>
      <c r="E108" s="4">
        <f t="shared" si="23"/>
        <v>0.59887005649717517</v>
      </c>
      <c r="F108">
        <f t="shared" si="24"/>
        <v>12.791864406779661</v>
      </c>
      <c r="G108">
        <f t="shared" si="25"/>
        <v>533.32480677966112</v>
      </c>
      <c r="H108">
        <f t="shared" si="26"/>
        <v>0.5333248067796611</v>
      </c>
      <c r="I108" s="2">
        <f t="shared" si="29"/>
        <v>9</v>
      </c>
      <c r="K108">
        <f t="shared" si="30"/>
        <v>0.9599846522033898</v>
      </c>
      <c r="L108" s="2">
        <f t="shared" si="31"/>
        <v>27</v>
      </c>
      <c r="M108">
        <f t="shared" si="32"/>
        <v>2.8799539566101697</v>
      </c>
      <c r="O108" s="2">
        <f t="shared" si="35"/>
        <v>20</v>
      </c>
      <c r="P108">
        <f t="shared" si="34"/>
        <v>2.1332992271186439</v>
      </c>
      <c r="R108" s="2">
        <f t="shared" si="43"/>
        <v>45</v>
      </c>
      <c r="S108">
        <f t="shared" si="41"/>
        <v>4.7999232610169491</v>
      </c>
      <c r="T108">
        <f t="shared" si="42"/>
        <v>16.630006127049761</v>
      </c>
      <c r="V108" s="2">
        <f t="shared" si="39"/>
        <v>38</v>
      </c>
      <c r="W108">
        <f t="shared" si="37"/>
        <v>4.0532685315254238</v>
      </c>
      <c r="Y108">
        <f t="shared" si="38"/>
        <v>14.043116285064245</v>
      </c>
    </row>
    <row r="109" spans="1:25" x14ac:dyDescent="0.25">
      <c r="A109" s="1">
        <v>107000</v>
      </c>
      <c r="B109" s="2">
        <v>96</v>
      </c>
      <c r="C109" s="2">
        <f t="shared" si="22"/>
        <v>2</v>
      </c>
      <c r="E109" s="4">
        <f t="shared" si="23"/>
        <v>0.60451977401129942</v>
      </c>
      <c r="F109">
        <f t="shared" si="24"/>
        <v>12.912542372881354</v>
      </c>
      <c r="G109">
        <f t="shared" si="25"/>
        <v>215.34246915254235</v>
      </c>
      <c r="H109">
        <f t="shared" si="26"/>
        <v>0.21534246915254235</v>
      </c>
      <c r="I109" s="2">
        <f t="shared" si="29"/>
        <v>12</v>
      </c>
      <c r="K109">
        <f t="shared" si="30"/>
        <v>1.292054814915254</v>
      </c>
      <c r="L109" s="2">
        <f t="shared" si="31"/>
        <v>15</v>
      </c>
      <c r="M109">
        <f t="shared" si="32"/>
        <v>1.6150685186440674</v>
      </c>
      <c r="O109" s="2">
        <f t="shared" si="35"/>
        <v>18</v>
      </c>
      <c r="P109">
        <f t="shared" si="34"/>
        <v>1.9380822223728811</v>
      </c>
      <c r="R109" s="2">
        <f t="shared" si="43"/>
        <v>45</v>
      </c>
      <c r="S109">
        <f t="shared" si="41"/>
        <v>4.8452055559322034</v>
      </c>
      <c r="T109">
        <f t="shared" si="42"/>
        <v>16.786892977304948</v>
      </c>
      <c r="V109" s="2">
        <f t="shared" si="39"/>
        <v>40</v>
      </c>
      <c r="W109">
        <f t="shared" si="37"/>
        <v>4.3068493830508467</v>
      </c>
      <c r="Y109">
        <f t="shared" si="38"/>
        <v>14.921682646493288</v>
      </c>
    </row>
    <row r="110" spans="1:25" x14ac:dyDescent="0.25">
      <c r="A110" s="1">
        <v>108000</v>
      </c>
      <c r="B110" s="2">
        <v>107</v>
      </c>
      <c r="C110" s="5">
        <f>(B109-B111)/2</f>
        <v>3</v>
      </c>
      <c r="E110" s="4">
        <f t="shared" si="23"/>
        <v>0.61016949152542377</v>
      </c>
      <c r="F110">
        <f t="shared" si="24"/>
        <v>13.033220338983051</v>
      </c>
      <c r="G110">
        <f t="shared" si="25"/>
        <v>326.03252338983054</v>
      </c>
      <c r="H110">
        <f t="shared" si="26"/>
        <v>0.32603252338983052</v>
      </c>
      <c r="I110" s="2">
        <f t="shared" si="29"/>
        <v>-4</v>
      </c>
      <c r="K110">
        <f t="shared" si="30"/>
        <v>-0.43471003118644069</v>
      </c>
      <c r="L110" s="2">
        <f t="shared" si="31"/>
        <v>6</v>
      </c>
      <c r="M110">
        <f t="shared" si="32"/>
        <v>0.65206504677966104</v>
      </c>
      <c r="O110" s="2">
        <f t="shared" si="35"/>
        <v>18</v>
      </c>
      <c r="P110">
        <f t="shared" si="34"/>
        <v>1.956195140338983</v>
      </c>
      <c r="R110" s="2">
        <f t="shared" si="43"/>
        <v>31</v>
      </c>
      <c r="S110">
        <f t="shared" si="41"/>
        <v>3.3690027416949158</v>
      </c>
      <c r="T110">
        <f t="shared" si="42"/>
        <v>11.672381658985874</v>
      </c>
      <c r="V110" s="2">
        <f t="shared" si="39"/>
        <v>21</v>
      </c>
      <c r="W110">
        <f t="shared" si="37"/>
        <v>2.2822276637288135</v>
      </c>
      <c r="Y110">
        <f t="shared" si="38"/>
        <v>7.907097252861397</v>
      </c>
    </row>
    <row r="111" spans="1:25" x14ac:dyDescent="0.25">
      <c r="A111" s="1">
        <v>109000</v>
      </c>
      <c r="B111" s="2">
        <v>90</v>
      </c>
      <c r="C111" s="2">
        <f t="shared" si="22"/>
        <v>17</v>
      </c>
      <c r="E111" s="4">
        <f t="shared" si="23"/>
        <v>0.61581920903954801</v>
      </c>
      <c r="F111">
        <f t="shared" si="24"/>
        <v>13.153898305084745</v>
      </c>
      <c r="G111" s="7">
        <f t="shared" si="25"/>
        <v>1864.6242772881353</v>
      </c>
      <c r="H111" s="7">
        <f t="shared" ref="H111:H174" si="44">G111/1000</f>
        <v>1.8646242772881354</v>
      </c>
      <c r="I111" s="2">
        <f t="shared" si="29"/>
        <v>8</v>
      </c>
      <c r="K111">
        <f t="shared" si="30"/>
        <v>0.87747024813559316</v>
      </c>
      <c r="L111" s="2">
        <f t="shared" si="31"/>
        <v>18</v>
      </c>
      <c r="M111">
        <f t="shared" si="32"/>
        <v>1.9743080583050845</v>
      </c>
      <c r="O111" s="2">
        <f t="shared" si="35"/>
        <v>21</v>
      </c>
      <c r="P111">
        <f t="shared" si="34"/>
        <v>2.303359401355932</v>
      </c>
      <c r="R111" s="2">
        <f t="shared" si="43"/>
        <v>54</v>
      </c>
      <c r="S111">
        <f t="shared" si="41"/>
        <v>5.922924174915253</v>
      </c>
      <c r="T111">
        <f t="shared" si="42"/>
        <v>20.520800013378384</v>
      </c>
      <c r="V111" s="2">
        <f t="shared" si="39"/>
        <v>34</v>
      </c>
      <c r="W111">
        <f t="shared" si="37"/>
        <v>3.7292485545762708</v>
      </c>
      <c r="Y111">
        <f t="shared" si="38"/>
        <v>12.920503712127131</v>
      </c>
    </row>
    <row r="112" spans="1:25" x14ac:dyDescent="0.25">
      <c r="A112" s="1">
        <v>110000</v>
      </c>
      <c r="B112" s="2">
        <v>89</v>
      </c>
      <c r="C112" s="2">
        <f t="shared" si="22"/>
        <v>1</v>
      </c>
      <c r="E112" s="4">
        <f t="shared" si="23"/>
        <v>0.62146892655367236</v>
      </c>
      <c r="F112">
        <f t="shared" si="24"/>
        <v>13.274576271186442</v>
      </c>
      <c r="G112">
        <f t="shared" si="25"/>
        <v>110.69005423728817</v>
      </c>
      <c r="H112">
        <f t="shared" si="44"/>
        <v>0.11069005423728817</v>
      </c>
      <c r="I112" s="2">
        <f t="shared" si="29"/>
        <v>7</v>
      </c>
      <c r="K112">
        <f t="shared" si="30"/>
        <v>0.77483037966101698</v>
      </c>
      <c r="L112" s="2">
        <f t="shared" si="31"/>
        <v>18</v>
      </c>
      <c r="M112">
        <f t="shared" si="32"/>
        <v>1.9924209762711866</v>
      </c>
      <c r="O112" s="2">
        <f t="shared" si="35"/>
        <v>24</v>
      </c>
      <c r="P112">
        <f t="shared" si="34"/>
        <v>2.6565613016949157</v>
      </c>
      <c r="R112" s="2">
        <f t="shared" si="43"/>
        <v>41</v>
      </c>
      <c r="S112">
        <f t="shared" si="41"/>
        <v>4.5382922237288144</v>
      </c>
      <c r="T112">
        <f t="shared" si="42"/>
        <v>15.723548770019802</v>
      </c>
      <c r="V112" s="2">
        <f t="shared" si="39"/>
        <v>35</v>
      </c>
      <c r="W112">
        <f t="shared" si="37"/>
        <v>3.8741518983050849</v>
      </c>
      <c r="Y112">
        <f t="shared" si="38"/>
        <v>13.42254163294373</v>
      </c>
    </row>
    <row r="113" spans="1:25" x14ac:dyDescent="0.25">
      <c r="A113" s="1">
        <v>111000</v>
      </c>
      <c r="B113" s="2">
        <v>87</v>
      </c>
      <c r="C113" s="2">
        <f t="shared" si="22"/>
        <v>2</v>
      </c>
      <c r="E113" s="4">
        <f t="shared" si="23"/>
        <v>0.6271186440677966</v>
      </c>
      <c r="F113">
        <f t="shared" si="24"/>
        <v>13.395254237288135</v>
      </c>
      <c r="G113">
        <f t="shared" si="25"/>
        <v>223.39265491525427</v>
      </c>
      <c r="H113">
        <f t="shared" si="44"/>
        <v>0.22339265491525426</v>
      </c>
      <c r="I113" s="2">
        <f t="shared" si="29"/>
        <v>20</v>
      </c>
      <c r="K113">
        <f t="shared" si="30"/>
        <v>2.233926549152542</v>
      </c>
      <c r="L113" s="2">
        <f t="shared" si="31"/>
        <v>21</v>
      </c>
      <c r="M113">
        <f t="shared" si="32"/>
        <v>2.345622876610169</v>
      </c>
      <c r="O113" s="2">
        <f t="shared" si="35"/>
        <v>21</v>
      </c>
      <c r="P113">
        <f t="shared" si="34"/>
        <v>2.345622876610169</v>
      </c>
      <c r="R113" s="2">
        <f t="shared" si="43"/>
        <v>49</v>
      </c>
      <c r="S113">
        <f t="shared" si="41"/>
        <v>5.4731200454237285</v>
      </c>
      <c r="T113">
        <f t="shared" si="42"/>
        <v>18.962390634176867</v>
      </c>
      <c r="V113" s="2">
        <f t="shared" si="39"/>
        <v>31</v>
      </c>
      <c r="W113">
        <f t="shared" si="37"/>
        <v>3.4625861511864406</v>
      </c>
      <c r="Y113">
        <f t="shared" si="38"/>
        <v>11.996614482846589</v>
      </c>
    </row>
    <row r="114" spans="1:25" x14ac:dyDescent="0.25">
      <c r="A114" s="1">
        <v>112000</v>
      </c>
      <c r="B114" s="2">
        <v>93</v>
      </c>
      <c r="C114" s="5">
        <f>(B115-B113)/2</f>
        <v>3</v>
      </c>
      <c r="E114" s="4">
        <f t="shared" si="23"/>
        <v>0.63276836158192096</v>
      </c>
      <c r="F114">
        <f t="shared" si="24"/>
        <v>13.515932203389831</v>
      </c>
      <c r="G114">
        <f t="shared" si="25"/>
        <v>338.10780203389828</v>
      </c>
      <c r="H114">
        <f t="shared" si="44"/>
        <v>0.33810780203389829</v>
      </c>
      <c r="I114" s="2">
        <f t="shared" si="29"/>
        <v>-3</v>
      </c>
      <c r="K114">
        <f t="shared" si="30"/>
        <v>-0.33810780203389829</v>
      </c>
      <c r="L114" s="2">
        <f t="shared" si="31"/>
        <v>10</v>
      </c>
      <c r="M114">
        <f t="shared" si="32"/>
        <v>1.1270260067796609</v>
      </c>
      <c r="O114" s="2">
        <f t="shared" si="35"/>
        <v>14</v>
      </c>
      <c r="P114">
        <f t="shared" si="34"/>
        <v>1.5778364094915254</v>
      </c>
      <c r="R114" s="2">
        <f t="shared" si="43"/>
        <v>43</v>
      </c>
      <c r="S114">
        <f t="shared" si="41"/>
        <v>4.8462118291525424</v>
      </c>
      <c r="T114">
        <f t="shared" si="42"/>
        <v>16.790379351755067</v>
      </c>
      <c r="V114" s="2">
        <f t="shared" si="39"/>
        <v>21</v>
      </c>
      <c r="W114">
        <f t="shared" si="37"/>
        <v>2.3667546142372879</v>
      </c>
      <c r="Y114">
        <f t="shared" si="38"/>
        <v>8.1999527066710787</v>
      </c>
    </row>
    <row r="115" spans="1:25" x14ac:dyDescent="0.25">
      <c r="A115" s="1">
        <v>113000</v>
      </c>
      <c r="B115" s="2">
        <v>93</v>
      </c>
      <c r="C115" s="2">
        <f t="shared" si="22"/>
        <v>0</v>
      </c>
      <c r="E115" s="4">
        <f t="shared" si="23"/>
        <v>0.6384180790960452</v>
      </c>
      <c r="F115">
        <f t="shared" si="24"/>
        <v>13.636610169491526</v>
      </c>
      <c r="G115">
        <f t="shared" si="25"/>
        <v>0</v>
      </c>
      <c r="H115">
        <f t="shared" si="44"/>
        <v>0</v>
      </c>
      <c r="I115" s="2">
        <f t="shared" si="29"/>
        <v>-4</v>
      </c>
      <c r="K115">
        <f t="shared" si="30"/>
        <v>-0.4548354955932204</v>
      </c>
      <c r="L115" s="2">
        <f t="shared" si="31"/>
        <v>5</v>
      </c>
      <c r="M115">
        <f t="shared" si="32"/>
        <v>0.56854436949152543</v>
      </c>
      <c r="O115" s="2">
        <f t="shared" si="35"/>
        <v>15</v>
      </c>
      <c r="P115">
        <f t="shared" si="34"/>
        <v>1.7056331084745766</v>
      </c>
      <c r="R115" s="2">
        <f t="shared" si="43"/>
        <v>35</v>
      </c>
      <c r="S115">
        <f t="shared" si="41"/>
        <v>3.9798105864406783</v>
      </c>
      <c r="T115">
        <f t="shared" si="42"/>
        <v>13.788610950205832</v>
      </c>
      <c r="V115" s="2">
        <f t="shared" si="39"/>
        <v>32</v>
      </c>
      <c r="W115">
        <f t="shared" si="37"/>
        <v>3.6386839647457632</v>
      </c>
      <c r="Y115">
        <f t="shared" si="38"/>
        <v>12.606730011616763</v>
      </c>
    </row>
    <row r="116" spans="1:25" x14ac:dyDescent="0.25">
      <c r="A116" s="1">
        <v>114000</v>
      </c>
      <c r="B116" s="2">
        <v>83</v>
      </c>
      <c r="C116" s="2">
        <f t="shared" si="22"/>
        <v>10</v>
      </c>
      <c r="E116" s="4">
        <f t="shared" si="23"/>
        <v>0.64406779661016944</v>
      </c>
      <c r="F116">
        <f t="shared" si="24"/>
        <v>13.757288135593219</v>
      </c>
      <c r="G116">
        <f t="shared" si="25"/>
        <v>1147.1514711864404</v>
      </c>
      <c r="H116">
        <f t="shared" si="44"/>
        <v>1.1471514711864403</v>
      </c>
      <c r="I116" s="2">
        <f t="shared" si="29"/>
        <v>4</v>
      </c>
      <c r="K116">
        <f t="shared" si="30"/>
        <v>0.45886058847457617</v>
      </c>
      <c r="L116" s="2">
        <f t="shared" si="31"/>
        <v>13</v>
      </c>
      <c r="M116">
        <f t="shared" si="32"/>
        <v>1.4912969125423727</v>
      </c>
      <c r="O116" s="2">
        <f t="shared" si="35"/>
        <v>20</v>
      </c>
      <c r="P116">
        <f t="shared" si="34"/>
        <v>2.2943029423728811</v>
      </c>
      <c r="R116" s="2">
        <f t="shared" si="43"/>
        <v>41</v>
      </c>
      <c r="S116">
        <f t="shared" si="41"/>
        <v>4.703321031864407</v>
      </c>
      <c r="T116">
        <f t="shared" si="42"/>
        <v>16.295314179838698</v>
      </c>
      <c r="V116" s="2">
        <f t="shared" si="39"/>
        <v>28</v>
      </c>
      <c r="W116">
        <f t="shared" si="37"/>
        <v>3.2120241193220331</v>
      </c>
      <c r="Y116">
        <f t="shared" si="38"/>
        <v>11.12850724476789</v>
      </c>
    </row>
    <row r="117" spans="1:25" x14ac:dyDescent="0.25">
      <c r="A117" s="1">
        <v>115000</v>
      </c>
      <c r="B117" s="2">
        <v>83</v>
      </c>
      <c r="C117" s="2">
        <f t="shared" si="22"/>
        <v>0</v>
      </c>
      <c r="E117" s="4">
        <f t="shared" si="23"/>
        <v>0.64971751412429379</v>
      </c>
      <c r="F117">
        <f t="shared" si="24"/>
        <v>13.877966101694915</v>
      </c>
      <c r="G117">
        <f t="shared" si="25"/>
        <v>0</v>
      </c>
      <c r="H117">
        <f t="shared" si="44"/>
        <v>0</v>
      </c>
      <c r="I117" s="2">
        <f t="shared" si="29"/>
        <v>10</v>
      </c>
      <c r="K117">
        <f t="shared" si="30"/>
        <v>1.1572142033898305</v>
      </c>
      <c r="L117" s="2">
        <f t="shared" si="31"/>
        <v>24</v>
      </c>
      <c r="M117">
        <f t="shared" si="32"/>
        <v>2.7773140881355931</v>
      </c>
      <c r="O117" s="2">
        <f t="shared" si="35"/>
        <v>15</v>
      </c>
      <c r="P117">
        <f t="shared" si="34"/>
        <v>1.735821305084746</v>
      </c>
      <c r="R117" s="2">
        <f t="shared" si="43"/>
        <v>41</v>
      </c>
      <c r="S117">
        <f t="shared" si="41"/>
        <v>4.7445782338983049</v>
      </c>
      <c r="T117">
        <f t="shared" si="42"/>
        <v>16.438255532293425</v>
      </c>
      <c r="V117" s="2">
        <f t="shared" si="39"/>
        <v>30</v>
      </c>
      <c r="W117">
        <f t="shared" si="37"/>
        <v>3.4716426101694919</v>
      </c>
      <c r="Y117">
        <f t="shared" si="38"/>
        <v>12.02799185289763</v>
      </c>
    </row>
    <row r="118" spans="1:25" x14ac:dyDescent="0.25">
      <c r="A118" s="1">
        <v>116000</v>
      </c>
      <c r="B118" s="2">
        <v>82</v>
      </c>
      <c r="C118" s="2">
        <f t="shared" si="22"/>
        <v>1</v>
      </c>
      <c r="E118" s="4">
        <f t="shared" si="23"/>
        <v>0.65536723163841804</v>
      </c>
      <c r="F118">
        <f t="shared" si="24"/>
        <v>13.99864406779661</v>
      </c>
      <c r="G118">
        <f t="shared" si="25"/>
        <v>116.72769355932203</v>
      </c>
      <c r="H118">
        <f t="shared" si="44"/>
        <v>0.11672769355932204</v>
      </c>
      <c r="I118" s="2">
        <f t="shared" si="29"/>
        <v>11</v>
      </c>
      <c r="K118">
        <f t="shared" si="30"/>
        <v>1.2840046291525424</v>
      </c>
      <c r="L118" s="2">
        <f t="shared" si="31"/>
        <v>8</v>
      </c>
      <c r="M118">
        <f t="shared" si="32"/>
        <v>0.93382154847457621</v>
      </c>
      <c r="O118" s="2">
        <f t="shared" si="35"/>
        <v>14</v>
      </c>
      <c r="P118">
        <f t="shared" si="34"/>
        <v>1.6341877098305087</v>
      </c>
      <c r="R118" s="2">
        <f t="shared" si="43"/>
        <v>36</v>
      </c>
      <c r="S118">
        <f t="shared" si="41"/>
        <v>4.2021969681355937</v>
      </c>
      <c r="T118">
        <f t="shared" si="42"/>
        <v>14.559099703681305</v>
      </c>
      <c r="V118" s="2">
        <f t="shared" si="39"/>
        <v>26</v>
      </c>
      <c r="W118">
        <f t="shared" si="37"/>
        <v>3.0349200325423724</v>
      </c>
      <c r="Y118">
        <f t="shared" si="38"/>
        <v>10.514905341547605</v>
      </c>
    </row>
    <row r="119" spans="1:25" x14ac:dyDescent="0.25">
      <c r="A119" s="1">
        <v>117000</v>
      </c>
      <c r="B119" s="2">
        <v>84</v>
      </c>
      <c r="C119" s="5">
        <f>(B118-B120)/2</f>
        <v>2.5</v>
      </c>
      <c r="E119" s="4">
        <f t="shared" si="23"/>
        <v>0.66101694915254239</v>
      </c>
      <c r="F119">
        <f t="shared" si="24"/>
        <v>14.119322033898305</v>
      </c>
      <c r="G119">
        <f t="shared" si="25"/>
        <v>294.33491694915261</v>
      </c>
      <c r="H119">
        <f t="shared" si="44"/>
        <v>0.29433491694915259</v>
      </c>
      <c r="I119" s="2">
        <f t="shared" si="29"/>
        <v>-1</v>
      </c>
      <c r="K119">
        <f t="shared" si="30"/>
        <v>-0.11773396677966101</v>
      </c>
      <c r="L119" s="2">
        <f t="shared" si="31"/>
        <v>5</v>
      </c>
      <c r="M119">
        <f t="shared" si="32"/>
        <v>0.58866983389830507</v>
      </c>
      <c r="O119" s="2">
        <f t="shared" si="35"/>
        <v>23</v>
      </c>
      <c r="P119">
        <f t="shared" si="34"/>
        <v>2.7078812359322035</v>
      </c>
      <c r="R119" s="2">
        <f t="shared" si="43"/>
        <v>30</v>
      </c>
      <c r="S119">
        <f t="shared" si="41"/>
        <v>3.5320190033898302</v>
      </c>
      <c r="T119">
        <f t="shared" si="42"/>
        <v>12.237174319904543</v>
      </c>
      <c r="V119" s="2">
        <f t="shared" si="39"/>
        <v>23</v>
      </c>
      <c r="W119">
        <f t="shared" si="37"/>
        <v>2.7078812359322035</v>
      </c>
      <c r="Y119">
        <f t="shared" si="38"/>
        <v>9.3818336452601514</v>
      </c>
    </row>
    <row r="120" spans="1:25" x14ac:dyDescent="0.25">
      <c r="A120" s="1">
        <v>118000</v>
      </c>
      <c r="B120" s="2">
        <v>77</v>
      </c>
      <c r="C120" s="2">
        <f t="shared" si="22"/>
        <v>7</v>
      </c>
      <c r="E120" s="4">
        <f t="shared" si="23"/>
        <v>0.66666666666666663</v>
      </c>
      <c r="F120">
        <f t="shared" si="24"/>
        <v>14.239999999999998</v>
      </c>
      <c r="G120">
        <f t="shared" si="25"/>
        <v>831.18167999999991</v>
      </c>
      <c r="H120">
        <f t="shared" si="44"/>
        <v>0.83118167999999992</v>
      </c>
      <c r="I120" s="2">
        <f t="shared" si="29"/>
        <v>6</v>
      </c>
      <c r="K120">
        <f t="shared" si="30"/>
        <v>0.71244143999999998</v>
      </c>
      <c r="L120" s="2">
        <f t="shared" si="31"/>
        <v>10</v>
      </c>
      <c r="M120">
        <f t="shared" si="32"/>
        <v>1.1874023999999999</v>
      </c>
      <c r="O120" s="2">
        <f t="shared" si="35"/>
        <v>13</v>
      </c>
      <c r="P120">
        <f t="shared" si="34"/>
        <v>1.5436231199999999</v>
      </c>
      <c r="R120" s="2">
        <f t="shared" si="43"/>
        <v>48</v>
      </c>
      <c r="S120">
        <f t="shared" si="41"/>
        <v>5.6995315199999999</v>
      </c>
      <c r="T120">
        <f t="shared" si="42"/>
        <v>19.746824885452799</v>
      </c>
      <c r="V120" s="2">
        <f t="shared" si="39"/>
        <v>31</v>
      </c>
      <c r="W120">
        <f t="shared" si="37"/>
        <v>3.6809474399999993</v>
      </c>
      <c r="Y120">
        <f t="shared" si="38"/>
        <v>12.753157738521599</v>
      </c>
    </row>
    <row r="121" spans="1:25" x14ac:dyDescent="0.25">
      <c r="A121" s="1">
        <v>119000</v>
      </c>
      <c r="B121" s="2">
        <v>80</v>
      </c>
      <c r="C121" s="2">
        <f t="shared" si="22"/>
        <v>-3</v>
      </c>
      <c r="E121" s="4">
        <f t="shared" si="23"/>
        <v>0.67231638418079098</v>
      </c>
      <c r="F121">
        <f t="shared" si="24"/>
        <v>14.360677966101695</v>
      </c>
      <c r="G121">
        <f t="shared" si="25"/>
        <v>-359.23953966101703</v>
      </c>
      <c r="H121">
        <f t="shared" si="44"/>
        <v>-0.35923953966101702</v>
      </c>
      <c r="I121" s="2">
        <f t="shared" si="29"/>
        <v>2</v>
      </c>
      <c r="K121">
        <f t="shared" si="30"/>
        <v>0.23949302644067799</v>
      </c>
      <c r="L121" s="2">
        <f t="shared" si="31"/>
        <v>13</v>
      </c>
      <c r="M121">
        <f t="shared" si="32"/>
        <v>1.5567046718644069</v>
      </c>
      <c r="O121" s="2">
        <f t="shared" si="35"/>
        <v>9</v>
      </c>
      <c r="P121">
        <f t="shared" si="34"/>
        <v>1.077718618983051</v>
      </c>
      <c r="R121" s="2">
        <f t="shared" si="43"/>
        <v>31</v>
      </c>
      <c r="S121">
        <f t="shared" si="41"/>
        <v>3.7121419098305086</v>
      </c>
      <c r="T121">
        <f t="shared" si="42"/>
        <v>12.861235346475175</v>
      </c>
      <c r="V121" s="2">
        <f t="shared" si="39"/>
        <v>23</v>
      </c>
      <c r="W121">
        <f t="shared" si="37"/>
        <v>2.7541698040677969</v>
      </c>
      <c r="Y121">
        <f t="shared" si="38"/>
        <v>9.5422068699654528</v>
      </c>
    </row>
    <row r="122" spans="1:25" x14ac:dyDescent="0.25">
      <c r="A122" s="1">
        <v>120000</v>
      </c>
      <c r="B122" s="2">
        <v>78</v>
      </c>
      <c r="C122" s="2">
        <f t="shared" si="22"/>
        <v>2</v>
      </c>
      <c r="E122" s="4">
        <f t="shared" si="23"/>
        <v>0.67796610169491522</v>
      </c>
      <c r="F122">
        <f t="shared" si="24"/>
        <v>14.481355932203389</v>
      </c>
      <c r="G122">
        <f t="shared" si="25"/>
        <v>241.5055728813559</v>
      </c>
      <c r="H122">
        <f t="shared" si="44"/>
        <v>0.24150557288135591</v>
      </c>
      <c r="I122" s="2">
        <f t="shared" si="29"/>
        <v>6</v>
      </c>
      <c r="K122">
        <f t="shared" si="30"/>
        <v>0.72451671864406775</v>
      </c>
      <c r="L122" s="2">
        <f t="shared" si="31"/>
        <v>15</v>
      </c>
      <c r="M122">
        <f t="shared" si="32"/>
        <v>1.8112917966101691</v>
      </c>
      <c r="O122" s="2">
        <f t="shared" si="35"/>
        <v>9</v>
      </c>
      <c r="P122">
        <f t="shared" si="34"/>
        <v>1.0867750779661014</v>
      </c>
      <c r="R122" s="2">
        <f t="shared" si="43"/>
        <v>35</v>
      </c>
      <c r="S122">
        <f t="shared" si="41"/>
        <v>4.2263475254237282</v>
      </c>
      <c r="T122">
        <f t="shared" si="42"/>
        <v>14.642772690484067</v>
      </c>
      <c r="V122" s="2">
        <f t="shared" si="39"/>
        <v>20</v>
      </c>
      <c r="W122">
        <f t="shared" si="37"/>
        <v>2.415055728813559</v>
      </c>
      <c r="Y122">
        <f t="shared" si="38"/>
        <v>8.3672986802766101</v>
      </c>
    </row>
    <row r="123" spans="1:25" x14ac:dyDescent="0.25">
      <c r="A123" s="1">
        <v>121000</v>
      </c>
      <c r="B123" s="2">
        <v>75</v>
      </c>
      <c r="C123" s="2">
        <f t="shared" si="22"/>
        <v>3</v>
      </c>
      <c r="E123" s="4">
        <f t="shared" si="23"/>
        <v>0.68361581920903958</v>
      </c>
      <c r="F123">
        <f t="shared" si="24"/>
        <v>14.602033898305084</v>
      </c>
      <c r="G123">
        <f t="shared" si="25"/>
        <v>365.27717898305087</v>
      </c>
      <c r="H123">
        <f t="shared" si="44"/>
        <v>0.3652771789830509</v>
      </c>
      <c r="I123" s="2">
        <f t="shared" si="29"/>
        <v>2</v>
      </c>
      <c r="K123">
        <f t="shared" si="30"/>
        <v>0.24351811932203385</v>
      </c>
      <c r="L123" s="2">
        <f t="shared" si="31"/>
        <v>8</v>
      </c>
      <c r="M123">
        <f t="shared" si="32"/>
        <v>0.9740724772881354</v>
      </c>
      <c r="O123" s="2">
        <f t="shared" si="35"/>
        <v>18</v>
      </c>
      <c r="P123">
        <f t="shared" si="34"/>
        <v>2.1916630738983045</v>
      </c>
      <c r="R123" s="2">
        <f t="shared" si="43"/>
        <v>33</v>
      </c>
      <c r="S123">
        <f t="shared" si="41"/>
        <v>4.0180489688135586</v>
      </c>
      <c r="T123">
        <f t="shared" si="42"/>
        <v>13.921093179310208</v>
      </c>
      <c r="V123" s="2">
        <f t="shared" si="39"/>
        <v>21</v>
      </c>
      <c r="W123">
        <f t="shared" si="37"/>
        <v>2.5569402528813554</v>
      </c>
      <c r="Y123">
        <f t="shared" si="38"/>
        <v>8.8588774777428583</v>
      </c>
    </row>
    <row r="124" spans="1:25" x14ac:dyDescent="0.25">
      <c r="A124" s="1">
        <v>122000</v>
      </c>
      <c r="B124" s="2">
        <v>73</v>
      </c>
      <c r="C124" s="2">
        <f t="shared" si="22"/>
        <v>2</v>
      </c>
      <c r="E124" s="4">
        <f t="shared" si="23"/>
        <v>0.68926553672316382</v>
      </c>
      <c r="F124">
        <f t="shared" si="24"/>
        <v>14.722711864406779</v>
      </c>
      <c r="G124">
        <f t="shared" si="25"/>
        <v>245.53066576271186</v>
      </c>
      <c r="H124">
        <f t="shared" si="44"/>
        <v>0.24553066576271187</v>
      </c>
      <c r="I124" s="2">
        <f t="shared" si="29"/>
        <v>7</v>
      </c>
      <c r="K124">
        <f t="shared" si="30"/>
        <v>0.85935733016949145</v>
      </c>
      <c r="L124" s="2">
        <f t="shared" si="31"/>
        <v>10</v>
      </c>
      <c r="M124">
        <f t="shared" si="32"/>
        <v>1.2276533288135594</v>
      </c>
      <c r="O124" s="2">
        <f t="shared" si="35"/>
        <v>20</v>
      </c>
      <c r="P124">
        <f t="shared" si="34"/>
        <v>2.4553066576271187</v>
      </c>
      <c r="R124" s="2">
        <f t="shared" si="43"/>
        <v>34</v>
      </c>
      <c r="S124">
        <f t="shared" si="41"/>
        <v>4.1740213179661021</v>
      </c>
      <c r="T124">
        <f t="shared" si="42"/>
        <v>14.461481219078076</v>
      </c>
      <c r="V124" s="2">
        <f t="shared" si="39"/>
        <v>34</v>
      </c>
      <c r="W124">
        <f t="shared" si="37"/>
        <v>4.1740213179661021</v>
      </c>
      <c r="Y124">
        <f t="shared" si="38"/>
        <v>14.461481219078076</v>
      </c>
    </row>
    <row r="125" spans="1:25" x14ac:dyDescent="0.25">
      <c r="A125" s="1">
        <v>123000</v>
      </c>
      <c r="B125" s="2">
        <v>76</v>
      </c>
      <c r="C125" s="2">
        <f t="shared" si="22"/>
        <v>-3</v>
      </c>
      <c r="E125" s="4">
        <f t="shared" si="23"/>
        <v>0.69491525423728817</v>
      </c>
      <c r="F125">
        <f t="shared" si="24"/>
        <v>14.843389830508475</v>
      </c>
      <c r="G125">
        <f t="shared" si="25"/>
        <v>-371.31481830508477</v>
      </c>
      <c r="H125">
        <f t="shared" si="44"/>
        <v>-0.37131481830508478</v>
      </c>
      <c r="I125" s="2">
        <f t="shared" si="29"/>
        <v>2</v>
      </c>
      <c r="K125">
        <f t="shared" si="30"/>
        <v>0.24754321220338982</v>
      </c>
      <c r="L125" s="2">
        <f t="shared" si="31"/>
        <v>6</v>
      </c>
      <c r="M125">
        <f t="shared" si="32"/>
        <v>0.74262963661016945</v>
      </c>
      <c r="O125" s="2">
        <f t="shared" si="35"/>
        <v>7</v>
      </c>
      <c r="P125">
        <f t="shared" si="34"/>
        <v>0.86640124271186436</v>
      </c>
      <c r="R125" s="2">
        <f t="shared" si="43"/>
        <v>32</v>
      </c>
      <c r="S125">
        <f t="shared" si="41"/>
        <v>3.9606913952542371</v>
      </c>
      <c r="T125">
        <f t="shared" si="42"/>
        <v>13.722369835653639</v>
      </c>
      <c r="V125" s="2">
        <f t="shared" si="39"/>
        <v>14</v>
      </c>
      <c r="W125">
        <f t="shared" si="37"/>
        <v>1.7328024854237287</v>
      </c>
      <c r="Y125">
        <f t="shared" si="38"/>
        <v>6.0035368030984682</v>
      </c>
    </row>
    <row r="126" spans="1:25" x14ac:dyDescent="0.25">
      <c r="A126" s="1">
        <v>124000</v>
      </c>
      <c r="B126" s="2">
        <v>80</v>
      </c>
      <c r="C126" s="2">
        <f t="shared" si="22"/>
        <v>-4</v>
      </c>
      <c r="E126" s="4">
        <f t="shared" si="23"/>
        <v>0.70056497175141241</v>
      </c>
      <c r="F126">
        <f t="shared" si="24"/>
        <v>14.964067796610168</v>
      </c>
      <c r="G126">
        <f t="shared" si="25"/>
        <v>-499.11151728813559</v>
      </c>
      <c r="H126">
        <f t="shared" si="44"/>
        <v>-0.49911151728813558</v>
      </c>
      <c r="I126" s="2">
        <f t="shared" si="29"/>
        <v>-5</v>
      </c>
      <c r="K126">
        <f t="shared" si="30"/>
        <v>-0.6238893966101694</v>
      </c>
      <c r="L126" s="2">
        <f t="shared" si="31"/>
        <v>4</v>
      </c>
      <c r="M126">
        <f t="shared" si="32"/>
        <v>0.49911151728813558</v>
      </c>
      <c r="O126" s="2">
        <f t="shared" si="35"/>
        <v>3</v>
      </c>
      <c r="P126">
        <f t="shared" si="34"/>
        <v>0.3743336379661017</v>
      </c>
      <c r="R126" s="2">
        <f t="shared" si="43"/>
        <v>23</v>
      </c>
      <c r="S126">
        <f t="shared" si="41"/>
        <v>2.8698912244067798</v>
      </c>
      <c r="T126">
        <f t="shared" si="42"/>
        <v>9.9431399317287052</v>
      </c>
      <c r="V126" s="2">
        <f t="shared" si="39"/>
        <v>9</v>
      </c>
      <c r="W126">
        <f t="shared" si="37"/>
        <v>1.123000913898305</v>
      </c>
      <c r="Y126">
        <f t="shared" si="38"/>
        <v>3.8907938863286238</v>
      </c>
    </row>
    <row r="127" spans="1:25" x14ac:dyDescent="0.25">
      <c r="A127" s="1">
        <v>125000</v>
      </c>
      <c r="B127" s="2">
        <v>70</v>
      </c>
      <c r="C127" s="2">
        <f t="shared" si="22"/>
        <v>10</v>
      </c>
      <c r="E127" s="4">
        <f t="shared" si="23"/>
        <v>0.70621468926553677</v>
      </c>
      <c r="F127">
        <f t="shared" si="24"/>
        <v>15.084745762711865</v>
      </c>
      <c r="G127">
        <f t="shared" si="25"/>
        <v>1257.8415254237289</v>
      </c>
      <c r="H127">
        <f t="shared" si="44"/>
        <v>1.257841525423729</v>
      </c>
      <c r="I127" s="2">
        <f t="shared" si="29"/>
        <v>3</v>
      </c>
      <c r="K127">
        <f t="shared" si="30"/>
        <v>0.37735245762711861</v>
      </c>
      <c r="L127" s="2">
        <f t="shared" si="31"/>
        <v>7</v>
      </c>
      <c r="M127">
        <f t="shared" si="32"/>
        <v>0.88048906779661018</v>
      </c>
      <c r="O127" s="2">
        <f t="shared" si="35"/>
        <v>12</v>
      </c>
      <c r="P127">
        <f t="shared" si="34"/>
        <v>1.5094098305084744</v>
      </c>
      <c r="R127" s="2">
        <f t="shared" si="43"/>
        <v>28</v>
      </c>
      <c r="S127">
        <f t="shared" si="41"/>
        <v>3.5219562711864407</v>
      </c>
      <c r="T127">
        <f t="shared" si="42"/>
        <v>12.202310575403391</v>
      </c>
      <c r="V127" s="2">
        <f t="shared" si="39"/>
        <v>17</v>
      </c>
      <c r="W127">
        <f t="shared" si="37"/>
        <v>2.1383305932203394</v>
      </c>
      <c r="Y127">
        <f t="shared" si="38"/>
        <v>7.4085457064949161</v>
      </c>
    </row>
    <row r="128" spans="1:25" x14ac:dyDescent="0.25">
      <c r="A128" s="1">
        <v>126000</v>
      </c>
      <c r="B128" s="2">
        <v>76</v>
      </c>
      <c r="C128" s="2">
        <f t="shared" si="22"/>
        <v>-6</v>
      </c>
      <c r="E128" s="4">
        <f t="shared" si="23"/>
        <v>0.71186440677966101</v>
      </c>
      <c r="F128">
        <f t="shared" si="24"/>
        <v>15.205423728813559</v>
      </c>
      <c r="G128">
        <f t="shared" si="25"/>
        <v>-760.74255457627123</v>
      </c>
      <c r="H128">
        <f t="shared" si="44"/>
        <v>-0.76074255457627127</v>
      </c>
      <c r="I128" s="2">
        <f t="shared" si="29"/>
        <v>0</v>
      </c>
      <c r="K128">
        <f t="shared" si="30"/>
        <v>0</v>
      </c>
      <c r="L128" s="2">
        <f t="shared" si="31"/>
        <v>4</v>
      </c>
      <c r="M128">
        <f t="shared" si="32"/>
        <v>0.5071617030508474</v>
      </c>
      <c r="O128" s="2">
        <f t="shared" si="35"/>
        <v>8</v>
      </c>
      <c r="P128">
        <f t="shared" si="34"/>
        <v>1.0143234061016948</v>
      </c>
      <c r="R128" s="2">
        <f t="shared" si="43"/>
        <v>20</v>
      </c>
      <c r="S128">
        <f t="shared" si="41"/>
        <v>2.5358085152542373</v>
      </c>
      <c r="T128">
        <f t="shared" si="42"/>
        <v>8.7856636142904403</v>
      </c>
      <c r="V128" s="2">
        <f t="shared" si="39"/>
        <v>17</v>
      </c>
      <c r="W128">
        <f t="shared" si="37"/>
        <v>2.1554372379661015</v>
      </c>
      <c r="Y128">
        <f t="shared" si="38"/>
        <v>7.467814072146874</v>
      </c>
    </row>
    <row r="129" spans="1:25" x14ac:dyDescent="0.25">
      <c r="A129" s="1">
        <v>127000</v>
      </c>
      <c r="B129" s="2">
        <v>72</v>
      </c>
      <c r="C129" s="2">
        <f t="shared" si="22"/>
        <v>4</v>
      </c>
      <c r="E129" s="4">
        <f t="shared" si="23"/>
        <v>0.71751412429378536</v>
      </c>
      <c r="F129">
        <f t="shared" si="24"/>
        <v>15.326101694915256</v>
      </c>
      <c r="G129">
        <f t="shared" si="25"/>
        <v>511.18679593220349</v>
      </c>
      <c r="H129">
        <f t="shared" si="44"/>
        <v>0.51118679593220351</v>
      </c>
      <c r="I129" s="2">
        <f t="shared" si="29"/>
        <v>8</v>
      </c>
      <c r="K129">
        <f t="shared" si="30"/>
        <v>1.0223735918644068</v>
      </c>
      <c r="L129" s="2">
        <f t="shared" si="31"/>
        <v>6</v>
      </c>
      <c r="M129">
        <f t="shared" si="32"/>
        <v>0.76678019389830521</v>
      </c>
      <c r="O129" s="2">
        <f t="shared" si="35"/>
        <v>5</v>
      </c>
      <c r="P129">
        <f t="shared" si="34"/>
        <v>0.6389834949152543</v>
      </c>
      <c r="R129" s="2">
        <f t="shared" si="43"/>
        <v>35</v>
      </c>
      <c r="S129">
        <f t="shared" si="41"/>
        <v>4.4728844644067802</v>
      </c>
      <c r="T129">
        <f t="shared" si="42"/>
        <v>15.496934430762307</v>
      </c>
      <c r="V129" s="2">
        <f t="shared" si="39"/>
        <v>21</v>
      </c>
      <c r="W129">
        <f t="shared" si="37"/>
        <v>2.6837306786440682</v>
      </c>
      <c r="Y129">
        <f t="shared" si="38"/>
        <v>9.2981606584573857</v>
      </c>
    </row>
    <row r="130" spans="1:25" x14ac:dyDescent="0.25">
      <c r="A130" s="1">
        <v>128000</v>
      </c>
      <c r="B130" s="2">
        <v>68</v>
      </c>
      <c r="C130" s="2">
        <f t="shared" si="22"/>
        <v>4</v>
      </c>
      <c r="E130" s="4">
        <f t="shared" si="23"/>
        <v>0.7231638418079096</v>
      </c>
      <c r="F130">
        <f t="shared" si="24"/>
        <v>15.446779661016949</v>
      </c>
      <c r="G130">
        <f t="shared" si="25"/>
        <v>515.21188881355943</v>
      </c>
      <c r="H130">
        <f t="shared" si="44"/>
        <v>0.51521188881355939</v>
      </c>
      <c r="I130" s="2">
        <f t="shared" si="29"/>
        <v>2</v>
      </c>
      <c r="K130">
        <f t="shared" si="30"/>
        <v>0.25760594440677964</v>
      </c>
      <c r="L130" s="2">
        <f t="shared" si="31"/>
        <v>7</v>
      </c>
      <c r="M130">
        <f t="shared" si="32"/>
        <v>0.90162080542372891</v>
      </c>
      <c r="O130" s="2">
        <f t="shared" si="35"/>
        <v>12</v>
      </c>
      <c r="P130">
        <f t="shared" si="34"/>
        <v>1.5456356664406778</v>
      </c>
      <c r="R130" s="2">
        <f t="shared" si="43"/>
        <v>22</v>
      </c>
      <c r="S130">
        <f t="shared" si="41"/>
        <v>2.8336653884745764</v>
      </c>
      <c r="T130">
        <f t="shared" si="42"/>
        <v>9.8176304515245576</v>
      </c>
      <c r="V130" s="2">
        <f t="shared" si="39"/>
        <v>15</v>
      </c>
      <c r="W130">
        <f t="shared" si="37"/>
        <v>1.9320445830508475</v>
      </c>
      <c r="Y130">
        <f t="shared" si="38"/>
        <v>6.6938389442212891</v>
      </c>
    </row>
    <row r="131" spans="1:25" x14ac:dyDescent="0.25">
      <c r="A131" s="1">
        <v>129000</v>
      </c>
      <c r="B131" s="2">
        <v>67</v>
      </c>
      <c r="C131" s="2">
        <f t="shared" si="22"/>
        <v>1</v>
      </c>
      <c r="E131" s="4">
        <f t="shared" si="23"/>
        <v>0.72881355932203384</v>
      </c>
      <c r="F131">
        <f t="shared" si="24"/>
        <v>15.567457627118642</v>
      </c>
      <c r="G131">
        <f t="shared" si="25"/>
        <v>129.80924542372881</v>
      </c>
      <c r="H131">
        <f t="shared" si="44"/>
        <v>0.12980924542372882</v>
      </c>
      <c r="I131" s="2">
        <f t="shared" si="29"/>
        <v>9</v>
      </c>
      <c r="K131">
        <f t="shared" si="30"/>
        <v>1.1682832088135593</v>
      </c>
      <c r="L131" s="2">
        <f t="shared" si="31"/>
        <v>6</v>
      </c>
      <c r="M131">
        <f t="shared" si="32"/>
        <v>0.77885547254237275</v>
      </c>
      <c r="O131" s="2">
        <f t="shared" si="35"/>
        <v>11</v>
      </c>
      <c r="P131">
        <f t="shared" si="34"/>
        <v>1.4279016996610168</v>
      </c>
      <c r="R131" s="2">
        <f t="shared" si="43"/>
        <v>22</v>
      </c>
      <c r="S131">
        <f t="shared" si="41"/>
        <v>2.8558033993220335</v>
      </c>
      <c r="T131">
        <f t="shared" si="42"/>
        <v>9.8943306894270915</v>
      </c>
      <c r="V131" s="2">
        <f t="shared" si="39"/>
        <v>16</v>
      </c>
      <c r="W131">
        <f t="shared" si="37"/>
        <v>2.0769479267796607</v>
      </c>
      <c r="Y131">
        <f t="shared" si="38"/>
        <v>7.1958768650378833</v>
      </c>
    </row>
    <row r="132" spans="1:25" x14ac:dyDescent="0.25">
      <c r="A132" s="1">
        <v>130000</v>
      </c>
      <c r="B132" s="2">
        <v>63</v>
      </c>
      <c r="C132" s="2">
        <f t="shared" ref="C132:C179" si="45">(B131-B132)</f>
        <v>4</v>
      </c>
      <c r="E132" s="4">
        <f t="shared" ref="E132:E179" si="46">A132/177000</f>
        <v>0.7344632768361582</v>
      </c>
      <c r="F132">
        <f t="shared" ref="F132:F179" si="47">E132*21.36</f>
        <v>15.688135593220339</v>
      </c>
      <c r="G132">
        <f t="shared" ref="G132:G179" si="48">(1000*F132*C132*0.85*9.81)/1000</f>
        <v>523.26207457627117</v>
      </c>
      <c r="H132">
        <f t="shared" si="44"/>
        <v>0.52326207457627116</v>
      </c>
      <c r="I132" s="2">
        <f t="shared" si="29"/>
        <v>9</v>
      </c>
      <c r="K132">
        <f t="shared" si="30"/>
        <v>1.1773396677966101</v>
      </c>
      <c r="L132" s="2">
        <f t="shared" si="31"/>
        <v>13</v>
      </c>
      <c r="M132">
        <f t="shared" si="32"/>
        <v>1.7006017423728814</v>
      </c>
      <c r="O132" s="2">
        <f t="shared" si="35"/>
        <v>12</v>
      </c>
      <c r="P132">
        <f t="shared" si="34"/>
        <v>1.5697862237288136</v>
      </c>
      <c r="R132" s="2">
        <f t="shared" si="43"/>
        <v>24</v>
      </c>
      <c r="S132">
        <f t="shared" si="41"/>
        <v>3.1395724474576272</v>
      </c>
      <c r="T132">
        <f t="shared" si="42"/>
        <v>10.877488284359593</v>
      </c>
      <c r="V132" s="2">
        <f t="shared" si="39"/>
        <v>19</v>
      </c>
      <c r="W132">
        <f t="shared" si="37"/>
        <v>2.4854948542372881</v>
      </c>
      <c r="Y132">
        <f t="shared" si="38"/>
        <v>8.6113448917846789</v>
      </c>
    </row>
    <row r="133" spans="1:25" x14ac:dyDescent="0.25">
      <c r="A133" s="1">
        <v>131000</v>
      </c>
      <c r="B133" s="2">
        <v>71</v>
      </c>
      <c r="C133" s="2">
        <f t="shared" si="45"/>
        <v>-8</v>
      </c>
      <c r="E133" s="4">
        <f t="shared" si="46"/>
        <v>0.74011299435028244</v>
      </c>
      <c r="F133">
        <f t="shared" si="47"/>
        <v>15.808813559322033</v>
      </c>
      <c r="G133">
        <f t="shared" si="48"/>
        <v>-1054.5743349152542</v>
      </c>
      <c r="H133">
        <f t="shared" si="44"/>
        <v>-1.0545743349152543</v>
      </c>
      <c r="I133" s="2">
        <f t="shared" si="29"/>
        <v>-3</v>
      </c>
      <c r="K133">
        <f t="shared" si="30"/>
        <v>-0.39546537559322037</v>
      </c>
      <c r="L133" s="2">
        <f t="shared" si="31"/>
        <v>9</v>
      </c>
      <c r="M133">
        <f t="shared" si="32"/>
        <v>1.186396126779661</v>
      </c>
      <c r="O133" s="2">
        <f t="shared" si="35"/>
        <v>2</v>
      </c>
      <c r="P133">
        <f t="shared" si="34"/>
        <v>0.26364358372881358</v>
      </c>
      <c r="R133" s="2">
        <f t="shared" si="43"/>
        <v>22</v>
      </c>
      <c r="S133">
        <f t="shared" si="41"/>
        <v>2.9000794210169487</v>
      </c>
      <c r="T133">
        <f t="shared" si="42"/>
        <v>10.047731165232163</v>
      </c>
      <c r="V133" s="2">
        <f t="shared" si="39"/>
        <v>13</v>
      </c>
      <c r="W133">
        <f t="shared" si="37"/>
        <v>1.7136832942372882</v>
      </c>
      <c r="Y133">
        <f t="shared" si="38"/>
        <v>5.9372956885462784</v>
      </c>
    </row>
    <row r="134" spans="1:25" x14ac:dyDescent="0.25">
      <c r="A134" s="1">
        <v>132000</v>
      </c>
      <c r="B134" s="2">
        <v>68</v>
      </c>
      <c r="C134" s="2">
        <f t="shared" si="45"/>
        <v>3</v>
      </c>
      <c r="E134" s="4">
        <f t="shared" si="46"/>
        <v>0.74576271186440679</v>
      </c>
      <c r="F134">
        <f t="shared" si="47"/>
        <v>15.929491525423728</v>
      </c>
      <c r="G134">
        <f t="shared" si="48"/>
        <v>398.48419525423719</v>
      </c>
      <c r="H134">
        <f t="shared" si="44"/>
        <v>0.39848419525423717</v>
      </c>
      <c r="I134" s="2">
        <f t="shared" ref="I134:I179" si="49">B131-B134</f>
        <v>-1</v>
      </c>
      <c r="K134">
        <f t="shared" ref="K134:K179" si="50">(1000*9.81*I134*F134*0.85)/1000000</f>
        <v>-0.13282806508474576</v>
      </c>
      <c r="L134" s="2">
        <f t="shared" si="31"/>
        <v>2</v>
      </c>
      <c r="M134">
        <f t="shared" si="32"/>
        <v>0.26565613016949152</v>
      </c>
      <c r="O134" s="2">
        <f t="shared" si="35"/>
        <v>8</v>
      </c>
      <c r="P134">
        <f t="shared" si="34"/>
        <v>1.0626245206779661</v>
      </c>
      <c r="R134" s="2">
        <f t="shared" si="43"/>
        <v>25</v>
      </c>
      <c r="S134">
        <f t="shared" si="41"/>
        <v>3.3207016271186438</v>
      </c>
      <c r="T134">
        <f t="shared" si="42"/>
        <v>11.505035685380339</v>
      </c>
      <c r="V134" s="2">
        <f t="shared" si="39"/>
        <v>9</v>
      </c>
      <c r="W134">
        <f t="shared" si="37"/>
        <v>1.1954525857627116</v>
      </c>
      <c r="Y134">
        <f t="shared" si="38"/>
        <v>4.1418128467369213</v>
      </c>
    </row>
    <row r="135" spans="1:25" x14ac:dyDescent="0.25">
      <c r="A135" s="1">
        <v>133000</v>
      </c>
      <c r="B135" s="2">
        <v>74</v>
      </c>
      <c r="C135" s="2">
        <f t="shared" si="45"/>
        <v>-6</v>
      </c>
      <c r="E135" s="4">
        <f t="shared" si="46"/>
        <v>0.75141242937853103</v>
      </c>
      <c r="F135">
        <f t="shared" si="47"/>
        <v>16.050169491525423</v>
      </c>
      <c r="G135">
        <f t="shared" si="48"/>
        <v>-803.00602983050851</v>
      </c>
      <c r="H135">
        <f t="shared" si="44"/>
        <v>-0.80300602983050851</v>
      </c>
      <c r="I135" s="2">
        <f t="shared" si="49"/>
        <v>-11</v>
      </c>
      <c r="K135">
        <f t="shared" si="50"/>
        <v>-1.4721777213559322</v>
      </c>
      <c r="L135" s="2">
        <f t="shared" si="31"/>
        <v>2</v>
      </c>
      <c r="M135">
        <f t="shared" si="32"/>
        <v>0.26766867661016946</v>
      </c>
      <c r="O135" s="2">
        <f t="shared" si="35"/>
        <v>6</v>
      </c>
      <c r="P135">
        <f t="shared" si="34"/>
        <v>0.80300602983050839</v>
      </c>
      <c r="R135" s="2">
        <f t="shared" si="43"/>
        <v>9</v>
      </c>
      <c r="S135">
        <f t="shared" si="41"/>
        <v>1.2045090447457627</v>
      </c>
      <c r="T135">
        <f t="shared" si="42"/>
        <v>4.17319021678796</v>
      </c>
      <c r="V135" s="2">
        <f t="shared" si="39"/>
        <v>6</v>
      </c>
      <c r="W135">
        <f t="shared" si="37"/>
        <v>0.80300602983050839</v>
      </c>
      <c r="Y135">
        <f t="shared" si="38"/>
        <v>2.782126811191973</v>
      </c>
    </row>
    <row r="136" spans="1:25" x14ac:dyDescent="0.25">
      <c r="A136" s="1">
        <v>134000</v>
      </c>
      <c r="B136" s="2">
        <v>69</v>
      </c>
      <c r="C136" s="2">
        <f t="shared" si="45"/>
        <v>5</v>
      </c>
      <c r="E136" s="4">
        <f t="shared" si="46"/>
        <v>0.75706214689265539</v>
      </c>
      <c r="F136">
        <f t="shared" si="47"/>
        <v>16.170847457627119</v>
      </c>
      <c r="G136">
        <f t="shared" si="48"/>
        <v>674.20305762711871</v>
      </c>
      <c r="H136">
        <f t="shared" si="44"/>
        <v>0.67420305762711874</v>
      </c>
      <c r="I136" s="2">
        <f t="shared" si="49"/>
        <v>2</v>
      </c>
      <c r="K136">
        <f t="shared" si="50"/>
        <v>0.26968122305084746</v>
      </c>
      <c r="L136" s="2">
        <f t="shared" si="31"/>
        <v>3</v>
      </c>
      <c r="M136">
        <f t="shared" si="32"/>
        <v>0.40452183457627117</v>
      </c>
      <c r="O136" s="2">
        <f t="shared" si="35"/>
        <v>1</v>
      </c>
      <c r="P136">
        <f t="shared" si="34"/>
        <v>0.13484061152542373</v>
      </c>
      <c r="R136" s="2">
        <f t="shared" si="43"/>
        <v>14</v>
      </c>
      <c r="S136">
        <f t="shared" si="41"/>
        <v>1.8877685613559321</v>
      </c>
      <c r="T136">
        <f t="shared" si="42"/>
        <v>6.5404384684162169</v>
      </c>
      <c r="V136" s="2">
        <f t="shared" si="39"/>
        <v>9</v>
      </c>
      <c r="W136">
        <f t="shared" si="37"/>
        <v>1.2135655037288138</v>
      </c>
      <c r="Y136">
        <f t="shared" si="38"/>
        <v>4.2045675868389978</v>
      </c>
    </row>
    <row r="137" spans="1:25" x14ac:dyDescent="0.25">
      <c r="A137" s="1">
        <v>135000</v>
      </c>
      <c r="B137" s="2">
        <v>66</v>
      </c>
      <c r="C137" s="2">
        <f t="shared" si="45"/>
        <v>3</v>
      </c>
      <c r="E137" s="4">
        <f t="shared" si="46"/>
        <v>0.76271186440677963</v>
      </c>
      <c r="F137">
        <f t="shared" si="47"/>
        <v>16.291525423728814</v>
      </c>
      <c r="G137">
        <f t="shared" si="48"/>
        <v>407.54065423728815</v>
      </c>
      <c r="H137">
        <f t="shared" si="44"/>
        <v>0.40754065423728814</v>
      </c>
      <c r="I137" s="2">
        <f t="shared" si="49"/>
        <v>2</v>
      </c>
      <c r="K137">
        <f t="shared" si="50"/>
        <v>0.27169376949152541</v>
      </c>
      <c r="L137" s="2">
        <f t="shared" si="31"/>
        <v>2</v>
      </c>
      <c r="M137">
        <f t="shared" si="32"/>
        <v>0.27169376949152541</v>
      </c>
      <c r="O137" s="2">
        <f t="shared" si="35"/>
        <v>10</v>
      </c>
      <c r="P137">
        <f t="shared" si="34"/>
        <v>1.358468847457627</v>
      </c>
      <c r="R137" s="2">
        <f t="shared" si="43"/>
        <v>16</v>
      </c>
      <c r="S137">
        <f t="shared" si="41"/>
        <v>2.1735501559322032</v>
      </c>
      <c r="T137">
        <f t="shared" si="42"/>
        <v>7.5305688122489496</v>
      </c>
      <c r="V137" s="2">
        <f t="shared" si="39"/>
        <v>9</v>
      </c>
      <c r="W137">
        <f t="shared" si="37"/>
        <v>1.2226219627118644</v>
      </c>
      <c r="Y137">
        <f t="shared" si="38"/>
        <v>4.2359449568900338</v>
      </c>
    </row>
    <row r="138" spans="1:25" x14ac:dyDescent="0.25">
      <c r="A138" s="1">
        <v>136000</v>
      </c>
      <c r="B138" s="2">
        <v>66</v>
      </c>
      <c r="C138" s="2">
        <f t="shared" si="45"/>
        <v>0</v>
      </c>
      <c r="E138" s="4">
        <f t="shared" si="46"/>
        <v>0.76836158192090398</v>
      </c>
      <c r="F138">
        <f t="shared" si="47"/>
        <v>16.412203389830509</v>
      </c>
      <c r="G138">
        <f t="shared" si="48"/>
        <v>0</v>
      </c>
      <c r="H138">
        <f t="shared" si="44"/>
        <v>0</v>
      </c>
      <c r="I138" s="2">
        <f t="shared" si="49"/>
        <v>8</v>
      </c>
      <c r="K138">
        <f t="shared" si="50"/>
        <v>1.0948252637288134</v>
      </c>
      <c r="L138" s="2">
        <f t="shared" ref="L138:L179" si="51">B131-B138</f>
        <v>1</v>
      </c>
      <c r="M138">
        <f t="shared" ref="M138:M179" si="52">(1000*9.81*F138*L138*0.85)/1000000</f>
        <v>0.13685315796610167</v>
      </c>
      <c r="O138" s="2">
        <f t="shared" si="35"/>
        <v>6</v>
      </c>
      <c r="P138">
        <f t="shared" si="34"/>
        <v>0.82111894779661021</v>
      </c>
      <c r="R138" s="2">
        <f t="shared" si="43"/>
        <v>18</v>
      </c>
      <c r="S138">
        <f t="shared" si="41"/>
        <v>2.4633568433898305</v>
      </c>
      <c r="T138">
        <f t="shared" si="42"/>
        <v>8.5346446538821432</v>
      </c>
      <c r="V138" s="2">
        <f t="shared" si="39"/>
        <v>7</v>
      </c>
      <c r="W138">
        <f t="shared" si="37"/>
        <v>0.95797210576271175</v>
      </c>
      <c r="Y138">
        <f t="shared" si="38"/>
        <v>3.3190284765097218</v>
      </c>
    </row>
    <row r="139" spans="1:25" x14ac:dyDescent="0.25">
      <c r="A139" s="1">
        <v>137000</v>
      </c>
      <c r="B139" s="2">
        <v>66</v>
      </c>
      <c r="C139" s="2">
        <f t="shared" si="45"/>
        <v>0</v>
      </c>
      <c r="E139" s="4">
        <f t="shared" si="46"/>
        <v>0.77401129943502822</v>
      </c>
      <c r="F139">
        <f t="shared" si="47"/>
        <v>16.532881355932201</v>
      </c>
      <c r="G139">
        <f t="shared" si="48"/>
        <v>0</v>
      </c>
      <c r="H139">
        <f t="shared" si="44"/>
        <v>0</v>
      </c>
      <c r="I139" s="2">
        <f t="shared" si="49"/>
        <v>3</v>
      </c>
      <c r="K139">
        <f t="shared" si="50"/>
        <v>0.41357829355932196</v>
      </c>
      <c r="L139" s="2">
        <f t="shared" si="51"/>
        <v>-3</v>
      </c>
      <c r="M139">
        <f t="shared" si="52"/>
        <v>-0.41357829355932196</v>
      </c>
      <c r="O139" s="2">
        <f t="shared" si="35"/>
        <v>2</v>
      </c>
      <c r="P139">
        <f t="shared" ref="P139" si="53">(1000*9.81*F139*O139*0.85)/1000000</f>
        <v>0.27571886237288135</v>
      </c>
      <c r="R139" s="2">
        <f t="shared" si="43"/>
        <v>11</v>
      </c>
      <c r="S139">
        <f t="shared" si="41"/>
        <v>1.5164537430508471</v>
      </c>
      <c r="T139">
        <f t="shared" si="42"/>
        <v>5.2539662963236866</v>
      </c>
      <c r="V139" s="2">
        <f t="shared" si="39"/>
        <v>10</v>
      </c>
      <c r="W139">
        <f t="shared" si="37"/>
        <v>1.3785943118644066</v>
      </c>
      <c r="Y139">
        <f t="shared" si="38"/>
        <v>4.7763329966578976</v>
      </c>
    </row>
    <row r="140" spans="1:25" x14ac:dyDescent="0.25">
      <c r="A140" s="1">
        <v>138000</v>
      </c>
      <c r="B140" s="2">
        <v>62</v>
      </c>
      <c r="C140" s="2">
        <f t="shared" si="45"/>
        <v>4</v>
      </c>
      <c r="E140" s="4">
        <f t="shared" si="46"/>
        <v>0.77966101694915257</v>
      </c>
      <c r="F140">
        <f t="shared" si="47"/>
        <v>16.6535593220339</v>
      </c>
      <c r="G140">
        <f t="shared" si="48"/>
        <v>555.46281762711862</v>
      </c>
      <c r="H140">
        <f t="shared" si="44"/>
        <v>0.55546281762711858</v>
      </c>
      <c r="I140" s="2">
        <f t="shared" si="49"/>
        <v>4</v>
      </c>
      <c r="K140">
        <f t="shared" si="50"/>
        <v>0.55546281762711869</v>
      </c>
      <c r="L140" s="2">
        <f t="shared" si="51"/>
        <v>9</v>
      </c>
      <c r="M140">
        <f t="shared" si="52"/>
        <v>1.249791339661017</v>
      </c>
      <c r="O140" s="2">
        <f t="shared" ref="O140:O179" si="54">B131-B140</f>
        <v>5</v>
      </c>
      <c r="P140">
        <f t="shared" ref="P140:P179" si="55">(1000*9.81*F140*O140*0.85)/1000000</f>
        <v>0.69432852203389839</v>
      </c>
      <c r="R140" s="2">
        <f t="shared" si="43"/>
        <v>18</v>
      </c>
      <c r="S140">
        <f t="shared" si="41"/>
        <v>2.4995826793220339</v>
      </c>
      <c r="T140">
        <f t="shared" si="42"/>
        <v>8.6601541340862909</v>
      </c>
      <c r="V140" s="2">
        <f t="shared" si="39"/>
        <v>18</v>
      </c>
      <c r="W140">
        <f t="shared" si="37"/>
        <v>2.4995826793220339</v>
      </c>
      <c r="Y140">
        <f t="shared" si="38"/>
        <v>8.6601541340862909</v>
      </c>
    </row>
    <row r="141" spans="1:25" x14ac:dyDescent="0.25">
      <c r="A141" s="1">
        <v>139000</v>
      </c>
      <c r="B141" s="2">
        <v>70</v>
      </c>
      <c r="C141" s="2">
        <f t="shared" si="45"/>
        <v>-8</v>
      </c>
      <c r="E141" s="4">
        <f t="shared" si="46"/>
        <v>0.78531073446327682</v>
      </c>
      <c r="F141">
        <f t="shared" si="47"/>
        <v>16.774237288135591</v>
      </c>
      <c r="G141">
        <f t="shared" si="48"/>
        <v>-1118.9758210169491</v>
      </c>
      <c r="H141">
        <f t="shared" si="44"/>
        <v>-1.1189758210169491</v>
      </c>
      <c r="I141" s="2">
        <f t="shared" si="49"/>
        <v>-4</v>
      </c>
      <c r="K141">
        <f t="shared" si="50"/>
        <v>-0.55948791050847457</v>
      </c>
      <c r="L141" s="2">
        <f t="shared" si="51"/>
        <v>-2</v>
      </c>
      <c r="M141">
        <f t="shared" si="52"/>
        <v>-0.27974395525423729</v>
      </c>
      <c r="O141" s="2">
        <f t="shared" si="54"/>
        <v>-7</v>
      </c>
      <c r="P141">
        <f t="shared" si="55"/>
        <v>-0.97910384338983036</v>
      </c>
      <c r="R141" s="2">
        <f t="shared" si="43"/>
        <v>8</v>
      </c>
      <c r="S141">
        <f t="shared" si="41"/>
        <v>1.1189758210169491</v>
      </c>
      <c r="T141">
        <f t="shared" si="42"/>
        <v>3.8768483885281624</v>
      </c>
      <c r="V141" s="2">
        <f t="shared" si="39"/>
        <v>0</v>
      </c>
      <c r="W141">
        <f t="shared" si="37"/>
        <v>0</v>
      </c>
      <c r="Y141">
        <f t="shared" si="38"/>
        <v>0</v>
      </c>
    </row>
    <row r="142" spans="1:25" x14ac:dyDescent="0.25">
      <c r="A142" s="1">
        <v>140000</v>
      </c>
      <c r="B142" s="2">
        <v>64</v>
      </c>
      <c r="C142" s="2">
        <f t="shared" si="45"/>
        <v>6</v>
      </c>
      <c r="E142" s="4">
        <f t="shared" si="46"/>
        <v>0.79096045197740117</v>
      </c>
      <c r="F142">
        <f t="shared" si="47"/>
        <v>16.89491525423729</v>
      </c>
      <c r="G142">
        <f t="shared" si="48"/>
        <v>845.2695050847459</v>
      </c>
      <c r="H142">
        <f t="shared" si="44"/>
        <v>0.84526950508474585</v>
      </c>
      <c r="I142" s="2">
        <f t="shared" si="49"/>
        <v>2</v>
      </c>
      <c r="K142">
        <f t="shared" si="50"/>
        <v>0.28175650169491528</v>
      </c>
      <c r="L142" s="2">
        <f t="shared" si="51"/>
        <v>10</v>
      </c>
      <c r="M142">
        <f t="shared" si="52"/>
        <v>1.4087825084745762</v>
      </c>
      <c r="O142" s="2">
        <f t="shared" si="54"/>
        <v>7</v>
      </c>
      <c r="P142">
        <f t="shared" si="55"/>
        <v>0.9861477559322035</v>
      </c>
      <c r="R142" s="2">
        <f t="shared" si="43"/>
        <v>11</v>
      </c>
      <c r="S142">
        <f t="shared" si="41"/>
        <v>1.549660759322034</v>
      </c>
      <c r="T142">
        <f t="shared" si="42"/>
        <v>5.3690166531774919</v>
      </c>
      <c r="V142" s="2">
        <f t="shared" si="39"/>
        <v>12</v>
      </c>
      <c r="W142">
        <f t="shared" si="37"/>
        <v>1.6905390101694919</v>
      </c>
      <c r="Y142">
        <f t="shared" si="38"/>
        <v>5.8571090761936286</v>
      </c>
    </row>
    <row r="143" spans="1:25" x14ac:dyDescent="0.25">
      <c r="A143" s="1">
        <v>141000</v>
      </c>
      <c r="B143" s="2">
        <v>73</v>
      </c>
      <c r="C143" s="2">
        <f t="shared" si="45"/>
        <v>-9</v>
      </c>
      <c r="E143" s="4">
        <f t="shared" si="46"/>
        <v>0.79661016949152541</v>
      </c>
      <c r="F143">
        <f t="shared" si="47"/>
        <v>17.015593220338982</v>
      </c>
      <c r="G143">
        <f t="shared" si="48"/>
        <v>-1276.9607166101696</v>
      </c>
      <c r="H143">
        <f t="shared" si="44"/>
        <v>-1.2769607166101695</v>
      </c>
      <c r="I143" s="2">
        <f t="shared" si="49"/>
        <v>-11</v>
      </c>
      <c r="K143">
        <f t="shared" si="50"/>
        <v>-1.5607297647457625</v>
      </c>
      <c r="L143" s="2">
        <f t="shared" si="51"/>
        <v>-4</v>
      </c>
      <c r="M143">
        <f t="shared" si="52"/>
        <v>-0.56753809627118634</v>
      </c>
      <c r="O143" s="2">
        <f t="shared" si="54"/>
        <v>-5</v>
      </c>
      <c r="P143">
        <f t="shared" si="55"/>
        <v>-0.70942262033898307</v>
      </c>
      <c r="R143" s="2">
        <f t="shared" si="43"/>
        <v>0</v>
      </c>
      <c r="S143">
        <f t="shared" si="41"/>
        <v>0</v>
      </c>
      <c r="T143">
        <f t="shared" si="42"/>
        <v>0</v>
      </c>
      <c r="V143" s="2">
        <f t="shared" si="39"/>
        <v>-1</v>
      </c>
      <c r="W143">
        <f t="shared" si="37"/>
        <v>-0.14188452406779659</v>
      </c>
      <c r="Y143">
        <f t="shared" si="38"/>
        <v>-0.49157879746625083</v>
      </c>
    </row>
    <row r="144" spans="1:25" x14ac:dyDescent="0.25">
      <c r="A144" s="1">
        <v>142000</v>
      </c>
      <c r="B144" s="2">
        <v>63</v>
      </c>
      <c r="C144" s="2">
        <f t="shared" si="45"/>
        <v>10</v>
      </c>
      <c r="E144" s="4">
        <f t="shared" si="46"/>
        <v>0.80225988700564976</v>
      </c>
      <c r="F144">
        <f t="shared" si="47"/>
        <v>17.136271186440677</v>
      </c>
      <c r="G144" s="7">
        <f t="shared" si="48"/>
        <v>1428.9079728813558</v>
      </c>
      <c r="H144" s="7">
        <f t="shared" si="44"/>
        <v>1.4289079728813558</v>
      </c>
      <c r="I144" s="2">
        <f t="shared" si="49"/>
        <v>7</v>
      </c>
      <c r="K144">
        <f t="shared" si="50"/>
        <v>1.0002355810169492</v>
      </c>
      <c r="L144" s="2">
        <f t="shared" si="51"/>
        <v>3</v>
      </c>
      <c r="M144">
        <f t="shared" si="52"/>
        <v>0.4286723918644067</v>
      </c>
      <c r="O144" s="2">
        <f t="shared" si="54"/>
        <v>11</v>
      </c>
      <c r="P144">
        <f t="shared" si="55"/>
        <v>1.5717987701694911</v>
      </c>
      <c r="R144" s="2">
        <f t="shared" si="43"/>
        <v>13</v>
      </c>
      <c r="S144">
        <f t="shared" si="41"/>
        <v>1.8575803647457623</v>
      </c>
      <c r="T144">
        <f t="shared" si="42"/>
        <v>6.4358472349127576</v>
      </c>
      <c r="V144" s="2">
        <f t="shared" si="39"/>
        <v>5</v>
      </c>
      <c r="W144">
        <f t="shared" ref="W144" si="56">(1000*9.81*F144*V144*0.85)/1000000</f>
        <v>0.71445398644067792</v>
      </c>
      <c r="Y144">
        <f t="shared" ref="Y144" si="57">(W144*8640*0.401)/1000</f>
        <v>2.4753258595818308</v>
      </c>
    </row>
    <row r="145" spans="1:25" x14ac:dyDescent="0.25">
      <c r="A145" s="1">
        <v>143000</v>
      </c>
      <c r="B145" s="2">
        <v>68</v>
      </c>
      <c r="C145" s="2">
        <f t="shared" si="45"/>
        <v>-5</v>
      </c>
      <c r="E145" s="4">
        <f t="shared" si="46"/>
        <v>0.80790960451977401</v>
      </c>
      <c r="F145">
        <f t="shared" si="47"/>
        <v>17.256949152542372</v>
      </c>
      <c r="G145">
        <f t="shared" si="48"/>
        <v>-719.48535254237277</v>
      </c>
      <c r="H145">
        <f t="shared" si="44"/>
        <v>-0.71948535254237278</v>
      </c>
      <c r="I145" s="2">
        <f t="shared" si="49"/>
        <v>-4</v>
      </c>
      <c r="K145">
        <f t="shared" si="50"/>
        <v>-0.57558828203389834</v>
      </c>
      <c r="L145" s="2">
        <f t="shared" si="51"/>
        <v>-2</v>
      </c>
      <c r="M145">
        <f t="shared" si="52"/>
        <v>-0.28779414101694917</v>
      </c>
      <c r="O145" s="2">
        <f t="shared" si="54"/>
        <v>1</v>
      </c>
      <c r="P145">
        <f t="shared" si="55"/>
        <v>0.14389707050847458</v>
      </c>
      <c r="R145" s="2">
        <f t="shared" si="43"/>
        <v>12</v>
      </c>
      <c r="S145">
        <f t="shared" si="41"/>
        <v>1.7267648461016949</v>
      </c>
      <c r="T145">
        <f t="shared" si="42"/>
        <v>5.9826185563977763</v>
      </c>
      <c r="V145" s="2">
        <f t="shared" ref="V145:V179" si="58">B131-B145</f>
        <v>-1</v>
      </c>
      <c r="W145">
        <f t="shared" ref="W145:W179" si="59">(1000*9.81*F145*V145*0.85)/1000000</f>
        <v>-0.14389707050847458</v>
      </c>
      <c r="Y145">
        <f t="shared" ref="Y145:Y179" si="60">(W145*8640*0.401)/1000</f>
        <v>-0.49855154636648141</v>
      </c>
    </row>
    <row r="146" spans="1:25" x14ac:dyDescent="0.25">
      <c r="A146" s="1">
        <v>144000</v>
      </c>
      <c r="B146" s="2">
        <v>54</v>
      </c>
      <c r="C146" s="2">
        <f t="shared" si="45"/>
        <v>14</v>
      </c>
      <c r="E146" s="4">
        <f t="shared" si="46"/>
        <v>0.81355932203389836</v>
      </c>
      <c r="F146">
        <f t="shared" si="47"/>
        <v>17.377627118644067</v>
      </c>
      <c r="G146">
        <f t="shared" si="48"/>
        <v>2028.6468122033898</v>
      </c>
      <c r="H146">
        <f t="shared" si="44"/>
        <v>2.0286468122033896</v>
      </c>
      <c r="I146" s="2">
        <f t="shared" si="49"/>
        <v>19</v>
      </c>
      <c r="K146">
        <f t="shared" si="50"/>
        <v>2.7531635308474578</v>
      </c>
      <c r="L146" s="2">
        <f t="shared" si="51"/>
        <v>12</v>
      </c>
      <c r="M146">
        <f t="shared" si="52"/>
        <v>1.7388401247457628</v>
      </c>
      <c r="O146" s="2">
        <f t="shared" si="54"/>
        <v>12</v>
      </c>
      <c r="P146">
        <f t="shared" si="55"/>
        <v>1.7388401247457628</v>
      </c>
      <c r="R146" s="2">
        <f t="shared" si="43"/>
        <v>16</v>
      </c>
      <c r="S146">
        <f t="shared" si="41"/>
        <v>2.3184534996610169</v>
      </c>
      <c r="T146">
        <f t="shared" si="42"/>
        <v>8.0326067330655455</v>
      </c>
      <c r="V146" s="2">
        <f t="shared" si="58"/>
        <v>9</v>
      </c>
      <c r="W146">
        <f t="shared" si="59"/>
        <v>1.3041300935593221</v>
      </c>
      <c r="Y146">
        <f t="shared" si="60"/>
        <v>4.5183412873493696</v>
      </c>
    </row>
    <row r="147" spans="1:25" x14ac:dyDescent="0.25">
      <c r="A147" s="1">
        <v>145000</v>
      </c>
      <c r="B147" s="2">
        <v>65</v>
      </c>
      <c r="C147" s="2">
        <f t="shared" si="45"/>
        <v>-11</v>
      </c>
      <c r="E147" s="4">
        <f t="shared" si="46"/>
        <v>0.8192090395480226</v>
      </c>
      <c r="F147">
        <f t="shared" si="47"/>
        <v>17.498305084745763</v>
      </c>
      <c r="G147">
        <f t="shared" si="48"/>
        <v>-1605.0057864406781</v>
      </c>
      <c r="H147">
        <f t="shared" si="44"/>
        <v>-1.6050057864406782</v>
      </c>
      <c r="I147" s="2">
        <f t="shared" si="49"/>
        <v>-2</v>
      </c>
      <c r="K147">
        <f t="shared" si="50"/>
        <v>-0.29181923389830505</v>
      </c>
      <c r="L147" s="2">
        <f t="shared" si="51"/>
        <v>-3</v>
      </c>
      <c r="M147">
        <f t="shared" si="52"/>
        <v>-0.43772885084745761</v>
      </c>
      <c r="O147" s="2">
        <f t="shared" si="54"/>
        <v>1</v>
      </c>
      <c r="P147">
        <f t="shared" si="55"/>
        <v>0.14590961694915253</v>
      </c>
      <c r="R147" s="2">
        <f t="shared" si="43"/>
        <v>11</v>
      </c>
      <c r="S147">
        <f t="shared" si="41"/>
        <v>1.6050057864406779</v>
      </c>
      <c r="T147">
        <f t="shared" si="42"/>
        <v>5.560767247933831</v>
      </c>
      <c r="V147" s="2">
        <f t="shared" si="58"/>
        <v>6</v>
      </c>
      <c r="W147">
        <f t="shared" si="59"/>
        <v>0.87545770169491521</v>
      </c>
      <c r="Y147">
        <f t="shared" si="60"/>
        <v>3.033145771600271</v>
      </c>
    </row>
    <row r="148" spans="1:25" x14ac:dyDescent="0.25">
      <c r="A148" s="1">
        <v>146000</v>
      </c>
      <c r="B148" s="2">
        <v>62</v>
      </c>
      <c r="C148" s="2">
        <f t="shared" si="45"/>
        <v>3</v>
      </c>
      <c r="E148" s="4">
        <f t="shared" si="46"/>
        <v>0.82485875706214684</v>
      </c>
      <c r="F148">
        <f t="shared" si="47"/>
        <v>17.618983050847454</v>
      </c>
      <c r="G148">
        <f t="shared" si="48"/>
        <v>440.74767050847453</v>
      </c>
      <c r="H148">
        <f t="shared" si="44"/>
        <v>0.44074767050847452</v>
      </c>
      <c r="I148" s="2">
        <f t="shared" si="49"/>
        <v>6</v>
      </c>
      <c r="K148">
        <f t="shared" si="50"/>
        <v>0.88149534101694893</v>
      </c>
      <c r="L148" s="2">
        <f t="shared" si="51"/>
        <v>8</v>
      </c>
      <c r="M148">
        <f t="shared" si="52"/>
        <v>1.175327121355932</v>
      </c>
      <c r="O148" s="2">
        <f t="shared" si="54"/>
        <v>4</v>
      </c>
      <c r="P148">
        <f t="shared" si="55"/>
        <v>0.58766356067796599</v>
      </c>
      <c r="R148" s="2">
        <f t="shared" si="43"/>
        <v>10</v>
      </c>
      <c r="S148">
        <f t="shared" si="41"/>
        <v>1.4691589016949147</v>
      </c>
      <c r="T148">
        <f t="shared" si="42"/>
        <v>5.0901066971682694</v>
      </c>
      <c r="V148" s="2">
        <f t="shared" si="58"/>
        <v>6</v>
      </c>
      <c r="W148">
        <f t="shared" si="59"/>
        <v>0.88149534101694893</v>
      </c>
      <c r="Y148">
        <f t="shared" si="60"/>
        <v>3.0540640183009624</v>
      </c>
    </row>
    <row r="149" spans="1:25" x14ac:dyDescent="0.25">
      <c r="A149" s="1">
        <v>147000</v>
      </c>
      <c r="B149" s="2">
        <v>62</v>
      </c>
      <c r="C149" s="2">
        <f t="shared" si="45"/>
        <v>0</v>
      </c>
      <c r="E149" s="4">
        <f t="shared" si="46"/>
        <v>0.83050847457627119</v>
      </c>
      <c r="F149">
        <f t="shared" si="47"/>
        <v>17.739661016949153</v>
      </c>
      <c r="G149">
        <f t="shared" si="48"/>
        <v>0</v>
      </c>
      <c r="H149">
        <f t="shared" si="44"/>
        <v>0</v>
      </c>
      <c r="I149" s="2">
        <f t="shared" si="49"/>
        <v>-8</v>
      </c>
      <c r="K149">
        <f t="shared" si="50"/>
        <v>-1.1833773071186442</v>
      </c>
      <c r="L149" s="2">
        <f t="shared" si="51"/>
        <v>2</v>
      </c>
      <c r="M149">
        <f t="shared" si="52"/>
        <v>0.29584432677966105</v>
      </c>
      <c r="O149" s="2">
        <f t="shared" si="54"/>
        <v>0</v>
      </c>
      <c r="P149">
        <f t="shared" si="55"/>
        <v>0</v>
      </c>
      <c r="R149" s="2">
        <f t="shared" si="43"/>
        <v>6</v>
      </c>
      <c r="S149">
        <f t="shared" ref="S149" si="61">(1000*9.81*F149*R149*0.85)/1000000</f>
        <v>0.88753298033898309</v>
      </c>
      <c r="T149">
        <f t="shared" ref="T149" si="62">(S149*8640*0.401)/1000</f>
        <v>3.0749822650016543</v>
      </c>
      <c r="V149" s="2">
        <f t="shared" si="58"/>
        <v>12</v>
      </c>
      <c r="W149">
        <f t="shared" si="59"/>
        <v>1.7750659606779662</v>
      </c>
      <c r="Y149">
        <f t="shared" si="60"/>
        <v>6.1499645300033086</v>
      </c>
    </row>
    <row r="150" spans="1:25" x14ac:dyDescent="0.25">
      <c r="A150" s="1">
        <v>148000</v>
      </c>
      <c r="B150" s="2">
        <v>65</v>
      </c>
      <c r="C150" s="2">
        <f t="shared" si="45"/>
        <v>-3</v>
      </c>
      <c r="E150" s="4">
        <f t="shared" si="46"/>
        <v>0.83615819209039544</v>
      </c>
      <c r="F150">
        <f t="shared" si="47"/>
        <v>17.860338983050845</v>
      </c>
      <c r="G150">
        <f t="shared" si="48"/>
        <v>-446.78530983050842</v>
      </c>
      <c r="H150">
        <f t="shared" si="44"/>
        <v>-0.4467853098305084</v>
      </c>
      <c r="I150" s="2">
        <f t="shared" si="49"/>
        <v>0</v>
      </c>
      <c r="K150">
        <f t="shared" si="50"/>
        <v>0</v>
      </c>
      <c r="L150" s="2">
        <f t="shared" si="51"/>
        <v>8</v>
      </c>
      <c r="M150">
        <f t="shared" si="52"/>
        <v>1.1914274928813557</v>
      </c>
      <c r="O150" s="2">
        <f t="shared" si="54"/>
        <v>5</v>
      </c>
      <c r="P150">
        <f t="shared" si="55"/>
        <v>0.74464218305084739</v>
      </c>
      <c r="R150" s="2">
        <f t="shared" ref="R150:R179" si="63">B131-B150</f>
        <v>2</v>
      </c>
      <c r="S150">
        <f t="shared" ref="S150:S179" si="64">(1000*9.81*F150*R150*0.85)/1000000</f>
        <v>0.29785687322033894</v>
      </c>
      <c r="T150">
        <f t="shared" ref="T150:T179" si="65">(S150*8640*0.401)/1000</f>
        <v>1.0319668372341153</v>
      </c>
      <c r="V150" s="2">
        <f t="shared" si="58"/>
        <v>4</v>
      </c>
      <c r="W150">
        <f t="shared" si="59"/>
        <v>0.59571374644067787</v>
      </c>
      <c r="Y150">
        <f t="shared" si="60"/>
        <v>2.0639336744682306</v>
      </c>
    </row>
    <row r="151" spans="1:25" x14ac:dyDescent="0.25">
      <c r="A151" s="1">
        <v>149000</v>
      </c>
      <c r="B151" s="2">
        <v>65</v>
      </c>
      <c r="C151" s="2">
        <f t="shared" si="45"/>
        <v>0</v>
      </c>
      <c r="E151" s="4">
        <f t="shared" si="46"/>
        <v>0.84180790960451979</v>
      </c>
      <c r="F151">
        <f t="shared" si="47"/>
        <v>17.981016949152544</v>
      </c>
      <c r="G151">
        <f t="shared" si="48"/>
        <v>0</v>
      </c>
      <c r="H151">
        <f t="shared" si="44"/>
        <v>0</v>
      </c>
      <c r="I151" s="2">
        <f t="shared" si="49"/>
        <v>-3</v>
      </c>
      <c r="K151">
        <f t="shared" si="50"/>
        <v>-0.44980412949152548</v>
      </c>
      <c r="L151" s="2">
        <f t="shared" si="51"/>
        <v>-2</v>
      </c>
      <c r="M151">
        <f t="shared" si="52"/>
        <v>-0.29986941966101693</v>
      </c>
      <c r="O151" s="2">
        <f t="shared" si="54"/>
        <v>-1</v>
      </c>
      <c r="P151">
        <f t="shared" si="55"/>
        <v>-0.14993470983050847</v>
      </c>
      <c r="R151" s="2">
        <f t="shared" si="63"/>
        <v>-2</v>
      </c>
      <c r="S151">
        <f t="shared" si="64"/>
        <v>-0.29986941966101693</v>
      </c>
      <c r="T151">
        <f t="shared" si="65"/>
        <v>-1.0389395861343458</v>
      </c>
      <c r="V151" s="2">
        <f t="shared" si="58"/>
        <v>1</v>
      </c>
      <c r="W151">
        <f t="shared" si="59"/>
        <v>0.14993470983050847</v>
      </c>
      <c r="Y151">
        <f t="shared" si="60"/>
        <v>0.51946979306717289</v>
      </c>
    </row>
    <row r="152" spans="1:25" x14ac:dyDescent="0.25">
      <c r="A152" s="1">
        <v>150000</v>
      </c>
      <c r="B152" s="2">
        <v>63</v>
      </c>
      <c r="C152" s="2">
        <f t="shared" si="45"/>
        <v>2</v>
      </c>
      <c r="E152" s="4">
        <f t="shared" si="46"/>
        <v>0.84745762711864403</v>
      </c>
      <c r="F152">
        <f t="shared" si="47"/>
        <v>18.101694915254235</v>
      </c>
      <c r="G152">
        <f t="shared" si="48"/>
        <v>301.8819661016949</v>
      </c>
      <c r="H152">
        <f t="shared" si="44"/>
        <v>0.30188196610169488</v>
      </c>
      <c r="I152" s="2">
        <f t="shared" si="49"/>
        <v>-1</v>
      </c>
      <c r="K152">
        <f t="shared" si="50"/>
        <v>-0.15094098305084744</v>
      </c>
      <c r="L152" s="2">
        <f t="shared" si="51"/>
        <v>5</v>
      </c>
      <c r="M152">
        <f t="shared" si="52"/>
        <v>0.75470491525423711</v>
      </c>
      <c r="O152" s="2">
        <f t="shared" si="54"/>
        <v>10</v>
      </c>
      <c r="P152">
        <f t="shared" si="55"/>
        <v>1.5094098305084742</v>
      </c>
      <c r="R152" s="2">
        <f t="shared" si="63"/>
        <v>8</v>
      </c>
      <c r="S152">
        <f t="shared" si="64"/>
        <v>1.2075278644067795</v>
      </c>
      <c r="T152">
        <f t="shared" si="65"/>
        <v>4.183649340138305</v>
      </c>
      <c r="V152" s="2">
        <f t="shared" si="58"/>
        <v>3</v>
      </c>
      <c r="W152">
        <f t="shared" si="59"/>
        <v>0.45282294915254229</v>
      </c>
      <c r="Y152">
        <f t="shared" si="60"/>
        <v>1.5688685025518641</v>
      </c>
    </row>
    <row r="153" spans="1:25" x14ac:dyDescent="0.25">
      <c r="A153" s="1">
        <v>151000</v>
      </c>
      <c r="B153" s="2">
        <v>54</v>
      </c>
      <c r="C153" s="2">
        <f t="shared" si="45"/>
        <v>9</v>
      </c>
      <c r="E153" s="4">
        <f t="shared" si="46"/>
        <v>0.85310734463276838</v>
      </c>
      <c r="F153">
        <f t="shared" si="47"/>
        <v>18.22237288135593</v>
      </c>
      <c r="G153">
        <f t="shared" si="48"/>
        <v>1367.5253064406779</v>
      </c>
      <c r="H153">
        <f t="shared" si="44"/>
        <v>1.3675253064406778</v>
      </c>
      <c r="I153" s="2">
        <f t="shared" si="49"/>
        <v>11</v>
      </c>
      <c r="K153">
        <f t="shared" si="50"/>
        <v>1.6714198189830505</v>
      </c>
      <c r="L153" s="2">
        <f t="shared" si="51"/>
        <v>0</v>
      </c>
      <c r="M153">
        <f t="shared" si="52"/>
        <v>0</v>
      </c>
      <c r="O153" s="2">
        <f t="shared" si="54"/>
        <v>9</v>
      </c>
      <c r="P153">
        <f t="shared" si="55"/>
        <v>1.3675253064406778</v>
      </c>
      <c r="R153" s="2">
        <f t="shared" si="63"/>
        <v>14</v>
      </c>
      <c r="S153">
        <f t="shared" si="64"/>
        <v>2.1272615877966099</v>
      </c>
      <c r="T153">
        <f t="shared" si="65"/>
        <v>7.3701955875436473</v>
      </c>
      <c r="V153" s="2">
        <f t="shared" si="58"/>
        <v>12</v>
      </c>
      <c r="W153">
        <f t="shared" si="59"/>
        <v>1.823367075254237</v>
      </c>
      <c r="Y153">
        <f t="shared" si="60"/>
        <v>6.3173105036088399</v>
      </c>
    </row>
    <row r="154" spans="1:25" x14ac:dyDescent="0.25">
      <c r="A154" s="1">
        <v>152000</v>
      </c>
      <c r="B154" s="2">
        <v>57</v>
      </c>
      <c r="C154" s="2">
        <f t="shared" si="45"/>
        <v>-3</v>
      </c>
      <c r="E154" s="4">
        <f t="shared" si="46"/>
        <v>0.85875706214689262</v>
      </c>
      <c r="F154">
        <f t="shared" si="47"/>
        <v>18.343050847457626</v>
      </c>
      <c r="G154">
        <f t="shared" si="48"/>
        <v>-458.86058847457622</v>
      </c>
      <c r="H154">
        <f t="shared" si="44"/>
        <v>-0.45886058847457623</v>
      </c>
      <c r="I154" s="2">
        <f t="shared" si="49"/>
        <v>8</v>
      </c>
      <c r="K154">
        <f t="shared" si="50"/>
        <v>1.2236282359322033</v>
      </c>
      <c r="L154" s="2">
        <f t="shared" si="51"/>
        <v>8</v>
      </c>
      <c r="M154">
        <f t="shared" si="52"/>
        <v>1.2236282359322033</v>
      </c>
      <c r="O154" s="2">
        <f t="shared" si="54"/>
        <v>11</v>
      </c>
      <c r="P154">
        <f t="shared" si="55"/>
        <v>1.6824888244067797</v>
      </c>
      <c r="R154" s="2">
        <f t="shared" si="63"/>
        <v>17</v>
      </c>
      <c r="S154">
        <f t="shared" si="64"/>
        <v>2.6002100013559319</v>
      </c>
      <c r="T154">
        <f t="shared" si="65"/>
        <v>9.0087915790978172</v>
      </c>
      <c r="V154" s="2">
        <f t="shared" si="58"/>
        <v>5</v>
      </c>
      <c r="W154">
        <f t="shared" si="59"/>
        <v>0.76476764745762715</v>
      </c>
      <c r="Y154">
        <f t="shared" si="60"/>
        <v>2.6496445820875931</v>
      </c>
    </row>
    <row r="155" spans="1:25" x14ac:dyDescent="0.25">
      <c r="A155" s="1">
        <v>153000</v>
      </c>
      <c r="B155" s="2">
        <v>53</v>
      </c>
      <c r="C155" s="2">
        <f t="shared" si="45"/>
        <v>4</v>
      </c>
      <c r="E155" s="4">
        <f t="shared" si="46"/>
        <v>0.86440677966101698</v>
      </c>
      <c r="F155">
        <f t="shared" si="47"/>
        <v>18.463728813559321</v>
      </c>
      <c r="G155">
        <f t="shared" si="48"/>
        <v>615.83921084745759</v>
      </c>
      <c r="H155">
        <f t="shared" si="44"/>
        <v>0.61583921084745763</v>
      </c>
      <c r="I155" s="2">
        <f t="shared" si="49"/>
        <v>10</v>
      </c>
      <c r="K155">
        <f t="shared" si="50"/>
        <v>1.539598027118644</v>
      </c>
      <c r="L155" s="2">
        <f t="shared" si="51"/>
        <v>9</v>
      </c>
      <c r="M155">
        <f t="shared" si="52"/>
        <v>1.3856382244067795</v>
      </c>
      <c r="O155" s="2">
        <f t="shared" si="54"/>
        <v>1</v>
      </c>
      <c r="P155">
        <f t="shared" si="55"/>
        <v>0.15395980271186441</v>
      </c>
      <c r="R155" s="2">
        <f t="shared" si="63"/>
        <v>16</v>
      </c>
      <c r="S155">
        <f t="shared" si="64"/>
        <v>2.4633568433898305</v>
      </c>
      <c r="T155">
        <f t="shared" si="65"/>
        <v>8.5346446538821432</v>
      </c>
      <c r="V155" s="2">
        <f t="shared" si="58"/>
        <v>17</v>
      </c>
      <c r="W155">
        <f t="shared" si="59"/>
        <v>2.6173166461016946</v>
      </c>
      <c r="Y155">
        <f t="shared" si="60"/>
        <v>9.0680599447497752</v>
      </c>
    </row>
    <row r="156" spans="1:25" x14ac:dyDescent="0.25">
      <c r="A156" s="1">
        <v>154000</v>
      </c>
      <c r="B156" s="2">
        <v>49</v>
      </c>
      <c r="C156" s="2">
        <f t="shared" si="45"/>
        <v>4</v>
      </c>
      <c r="E156" s="4">
        <f t="shared" si="46"/>
        <v>0.87005649717514122</v>
      </c>
      <c r="F156">
        <f t="shared" si="47"/>
        <v>18.584406779661016</v>
      </c>
      <c r="G156">
        <f t="shared" si="48"/>
        <v>619.86430372881364</v>
      </c>
      <c r="H156">
        <f t="shared" si="44"/>
        <v>0.61986430372881363</v>
      </c>
      <c r="I156" s="2">
        <f t="shared" si="49"/>
        <v>5</v>
      </c>
      <c r="K156">
        <f t="shared" si="50"/>
        <v>0.77483037966101687</v>
      </c>
      <c r="L156" s="2">
        <f t="shared" si="51"/>
        <v>13</v>
      </c>
      <c r="M156">
        <f t="shared" si="52"/>
        <v>2.0145589871186438</v>
      </c>
      <c r="O156" s="2">
        <f t="shared" si="54"/>
        <v>16</v>
      </c>
      <c r="P156">
        <f t="shared" si="55"/>
        <v>2.4794572149152541</v>
      </c>
      <c r="R156" s="2">
        <f t="shared" si="63"/>
        <v>17</v>
      </c>
      <c r="S156">
        <f t="shared" si="64"/>
        <v>2.6344232908474576</v>
      </c>
      <c r="T156">
        <f t="shared" si="65"/>
        <v>9.1273283104017349</v>
      </c>
      <c r="V156" s="2">
        <f t="shared" si="58"/>
        <v>15</v>
      </c>
      <c r="W156">
        <f t="shared" si="59"/>
        <v>2.3244911389830509</v>
      </c>
      <c r="Y156">
        <f t="shared" si="60"/>
        <v>8.0535249797662374</v>
      </c>
    </row>
    <row r="157" spans="1:25" x14ac:dyDescent="0.25">
      <c r="A157" s="1">
        <v>155000</v>
      </c>
      <c r="B157" s="2">
        <v>54</v>
      </c>
      <c r="C157" s="2">
        <f t="shared" si="45"/>
        <v>-5</v>
      </c>
      <c r="E157" s="4">
        <f t="shared" si="46"/>
        <v>0.87570621468926557</v>
      </c>
      <c r="F157">
        <f t="shared" si="47"/>
        <v>18.705084745762711</v>
      </c>
      <c r="G157">
        <f t="shared" si="48"/>
        <v>-779.86174576271173</v>
      </c>
      <c r="H157">
        <f t="shared" si="44"/>
        <v>-0.77986174576271172</v>
      </c>
      <c r="I157" s="2">
        <f t="shared" si="49"/>
        <v>3</v>
      </c>
      <c r="K157">
        <f t="shared" si="50"/>
        <v>0.46791704745762713</v>
      </c>
      <c r="L157" s="2">
        <f t="shared" si="51"/>
        <v>11</v>
      </c>
      <c r="M157">
        <f t="shared" si="52"/>
        <v>1.7156958406779659</v>
      </c>
      <c r="O157" s="2">
        <f t="shared" si="54"/>
        <v>8</v>
      </c>
      <c r="P157">
        <f t="shared" si="55"/>
        <v>1.2477787932203388</v>
      </c>
      <c r="R157" s="2">
        <f t="shared" si="63"/>
        <v>12</v>
      </c>
      <c r="S157">
        <f t="shared" si="64"/>
        <v>1.8716681898305081</v>
      </c>
      <c r="T157">
        <f t="shared" si="65"/>
        <v>6.4846564772143722</v>
      </c>
      <c r="V157" s="2">
        <f t="shared" si="58"/>
        <v>19</v>
      </c>
      <c r="W157">
        <f t="shared" si="59"/>
        <v>2.9634746338983047</v>
      </c>
      <c r="Y157">
        <f t="shared" si="60"/>
        <v>10.267372755589422</v>
      </c>
    </row>
    <row r="158" spans="1:25" x14ac:dyDescent="0.25">
      <c r="A158" s="1">
        <v>156000</v>
      </c>
      <c r="B158" s="2">
        <v>55</v>
      </c>
      <c r="C158" s="2">
        <f t="shared" si="45"/>
        <v>-1</v>
      </c>
      <c r="E158" s="4">
        <f t="shared" si="46"/>
        <v>0.88135593220338981</v>
      </c>
      <c r="F158">
        <f t="shared" si="47"/>
        <v>18.825762711864407</v>
      </c>
      <c r="G158">
        <f t="shared" si="48"/>
        <v>-156.97862237288135</v>
      </c>
      <c r="H158">
        <f t="shared" si="44"/>
        <v>-0.15697862237288135</v>
      </c>
      <c r="I158" s="2">
        <f t="shared" si="49"/>
        <v>-2</v>
      </c>
      <c r="K158">
        <f t="shared" si="50"/>
        <v>-0.31395724474576275</v>
      </c>
      <c r="L158" s="2">
        <f t="shared" si="51"/>
        <v>10</v>
      </c>
      <c r="M158">
        <f t="shared" si="52"/>
        <v>1.5697862237288136</v>
      </c>
      <c r="O158" s="2">
        <f t="shared" si="54"/>
        <v>7</v>
      </c>
      <c r="P158">
        <f t="shared" si="55"/>
        <v>1.0988503566101697</v>
      </c>
      <c r="R158" s="2">
        <f t="shared" si="63"/>
        <v>11</v>
      </c>
      <c r="S158">
        <f t="shared" si="64"/>
        <v>1.7267648461016949</v>
      </c>
      <c r="T158">
        <f t="shared" si="65"/>
        <v>5.9826185563977763</v>
      </c>
      <c r="V158" s="2">
        <f t="shared" si="58"/>
        <v>8</v>
      </c>
      <c r="W158">
        <f t="shared" si="59"/>
        <v>1.255828978983051</v>
      </c>
      <c r="Y158">
        <f t="shared" si="60"/>
        <v>4.3509953137438391</v>
      </c>
    </row>
    <row r="159" spans="1:25" x14ac:dyDescent="0.25">
      <c r="A159" s="1">
        <v>157000</v>
      </c>
      <c r="B159" s="2">
        <v>50</v>
      </c>
      <c r="C159" s="2">
        <f t="shared" si="45"/>
        <v>5</v>
      </c>
      <c r="E159" s="4">
        <f t="shared" si="46"/>
        <v>0.88700564971751417</v>
      </c>
      <c r="F159">
        <f t="shared" si="47"/>
        <v>18.946440677966102</v>
      </c>
      <c r="G159">
        <f t="shared" si="48"/>
        <v>789.92447796610168</v>
      </c>
      <c r="H159">
        <f t="shared" si="44"/>
        <v>0.78992447796610166</v>
      </c>
      <c r="I159" s="2">
        <f t="shared" si="49"/>
        <v>-1</v>
      </c>
      <c r="K159">
        <f t="shared" si="50"/>
        <v>-0.15798489559322035</v>
      </c>
      <c r="L159" s="2">
        <f t="shared" si="51"/>
        <v>13</v>
      </c>
      <c r="M159">
        <f t="shared" si="52"/>
        <v>2.0538036427118644</v>
      </c>
      <c r="O159" s="2">
        <f t="shared" si="54"/>
        <v>15</v>
      </c>
      <c r="P159">
        <f t="shared" si="55"/>
        <v>2.3697734338983052</v>
      </c>
      <c r="R159" s="2">
        <f t="shared" si="63"/>
        <v>12</v>
      </c>
      <c r="S159">
        <f t="shared" si="64"/>
        <v>1.8958187471186438</v>
      </c>
      <c r="T159">
        <f t="shared" si="65"/>
        <v>6.5683294640171388</v>
      </c>
      <c r="V159" s="2">
        <f t="shared" si="58"/>
        <v>18</v>
      </c>
      <c r="W159">
        <f t="shared" si="59"/>
        <v>2.8437281206779663</v>
      </c>
      <c r="Y159">
        <f t="shared" si="60"/>
        <v>9.8524941960257095</v>
      </c>
    </row>
    <row r="160" spans="1:25" x14ac:dyDescent="0.25">
      <c r="A160" s="1">
        <v>158000</v>
      </c>
      <c r="B160" s="2">
        <v>51</v>
      </c>
      <c r="C160" s="2">
        <f t="shared" si="45"/>
        <v>-1</v>
      </c>
      <c r="E160" s="4">
        <f t="shared" si="46"/>
        <v>0.89265536723163841</v>
      </c>
      <c r="F160">
        <f t="shared" si="47"/>
        <v>19.067118644067797</v>
      </c>
      <c r="G160">
        <f t="shared" si="48"/>
        <v>-158.99116881355931</v>
      </c>
      <c r="H160">
        <f t="shared" si="44"/>
        <v>-0.15899116881355932</v>
      </c>
      <c r="I160" s="2">
        <f t="shared" si="49"/>
        <v>3</v>
      </c>
      <c r="K160">
        <f t="shared" si="50"/>
        <v>0.47697350644067799</v>
      </c>
      <c r="L160" s="2">
        <f t="shared" si="51"/>
        <v>3</v>
      </c>
      <c r="M160">
        <f t="shared" si="52"/>
        <v>0.47697350644067799</v>
      </c>
      <c r="O160" s="2">
        <f t="shared" si="54"/>
        <v>14</v>
      </c>
      <c r="P160">
        <f t="shared" si="55"/>
        <v>2.2258763633898306</v>
      </c>
      <c r="R160" s="2">
        <f t="shared" si="63"/>
        <v>19</v>
      </c>
      <c r="S160">
        <f t="shared" si="64"/>
        <v>3.020832207457627</v>
      </c>
      <c r="T160">
        <f t="shared" si="65"/>
        <v>10.466096099245993</v>
      </c>
      <c r="V160" s="2">
        <f t="shared" si="58"/>
        <v>3</v>
      </c>
      <c r="W160">
        <f t="shared" si="59"/>
        <v>0.47697350644067799</v>
      </c>
      <c r="Y160">
        <f t="shared" si="60"/>
        <v>1.6525414893546309</v>
      </c>
    </row>
    <row r="161" spans="1:25" x14ac:dyDescent="0.25">
      <c r="A161" s="1">
        <v>159000</v>
      </c>
      <c r="B161" s="2">
        <v>55</v>
      </c>
      <c r="C161" s="2">
        <f t="shared" si="45"/>
        <v>-4</v>
      </c>
      <c r="E161" s="4">
        <f t="shared" si="46"/>
        <v>0.89830508474576276</v>
      </c>
      <c r="F161">
        <f t="shared" si="47"/>
        <v>19.187796610169492</v>
      </c>
      <c r="G161">
        <f t="shared" si="48"/>
        <v>-639.98976813559318</v>
      </c>
      <c r="H161">
        <f t="shared" si="44"/>
        <v>-0.63998976813559316</v>
      </c>
      <c r="I161" s="2">
        <f t="shared" si="49"/>
        <v>0</v>
      </c>
      <c r="K161">
        <f t="shared" si="50"/>
        <v>0</v>
      </c>
      <c r="L161" s="2">
        <f t="shared" si="51"/>
        <v>2</v>
      </c>
      <c r="M161">
        <f t="shared" si="52"/>
        <v>0.31999488406779658</v>
      </c>
      <c r="O161" s="2">
        <f t="shared" si="54"/>
        <v>8</v>
      </c>
      <c r="P161">
        <f t="shared" si="55"/>
        <v>1.2799795362711863</v>
      </c>
      <c r="R161" s="2">
        <f t="shared" si="63"/>
        <v>9</v>
      </c>
      <c r="S161">
        <f t="shared" si="64"/>
        <v>1.4399769783050846</v>
      </c>
      <c r="T161">
        <f t="shared" si="65"/>
        <v>4.9890018381149286</v>
      </c>
      <c r="V161" s="2">
        <f t="shared" si="58"/>
        <v>10</v>
      </c>
      <c r="W161">
        <f t="shared" si="59"/>
        <v>1.599974420338983</v>
      </c>
      <c r="Y161">
        <f t="shared" si="60"/>
        <v>5.5433353756832542</v>
      </c>
    </row>
    <row r="162" spans="1:25" x14ac:dyDescent="0.25">
      <c r="A162" s="1">
        <v>160000</v>
      </c>
      <c r="B162" s="2">
        <v>61</v>
      </c>
      <c r="C162" s="2">
        <f t="shared" si="45"/>
        <v>-6</v>
      </c>
      <c r="E162" s="4">
        <f t="shared" si="46"/>
        <v>0.903954802259887</v>
      </c>
      <c r="F162">
        <f t="shared" si="47"/>
        <v>19.308474576271188</v>
      </c>
      <c r="G162">
        <f t="shared" si="48"/>
        <v>-966.02229152542373</v>
      </c>
      <c r="H162">
        <f t="shared" si="44"/>
        <v>-0.96602229152542374</v>
      </c>
      <c r="I162" s="2">
        <f t="shared" si="49"/>
        <v>-11</v>
      </c>
      <c r="K162">
        <f t="shared" si="50"/>
        <v>-1.7710408677966103</v>
      </c>
      <c r="L162" s="2">
        <f t="shared" si="51"/>
        <v>-8</v>
      </c>
      <c r="M162">
        <f t="shared" si="52"/>
        <v>-1.2880297220338983</v>
      </c>
      <c r="O162" s="2">
        <f t="shared" si="54"/>
        <v>-7</v>
      </c>
      <c r="P162">
        <f t="shared" si="55"/>
        <v>-1.1270260067796611</v>
      </c>
      <c r="R162" s="2">
        <f t="shared" si="63"/>
        <v>12</v>
      </c>
      <c r="S162">
        <f t="shared" si="64"/>
        <v>1.9320445830508475</v>
      </c>
      <c r="T162">
        <f t="shared" si="65"/>
        <v>6.6938389442212891</v>
      </c>
      <c r="V162" s="2">
        <f t="shared" si="58"/>
        <v>1</v>
      </c>
      <c r="W162">
        <f t="shared" si="59"/>
        <v>0.16100371525423729</v>
      </c>
      <c r="Y162">
        <f t="shared" si="60"/>
        <v>0.55781991201844072</v>
      </c>
    </row>
    <row r="163" spans="1:25" x14ac:dyDescent="0.25">
      <c r="A163" s="1">
        <v>161000</v>
      </c>
      <c r="B163" s="2">
        <v>62</v>
      </c>
      <c r="C163" s="2">
        <f t="shared" si="45"/>
        <v>-1</v>
      </c>
      <c r="E163" s="4">
        <f t="shared" si="46"/>
        <v>0.90960451977401124</v>
      </c>
      <c r="F163">
        <f t="shared" si="47"/>
        <v>19.429152542372879</v>
      </c>
      <c r="G163">
        <f t="shared" si="48"/>
        <v>-162.00998847457623</v>
      </c>
      <c r="H163">
        <f t="shared" si="44"/>
        <v>-0.16200998847457623</v>
      </c>
      <c r="I163" s="2">
        <f t="shared" si="49"/>
        <v>-11</v>
      </c>
      <c r="K163">
        <f t="shared" si="50"/>
        <v>-1.7821098732203386</v>
      </c>
      <c r="L163" s="2">
        <f t="shared" si="51"/>
        <v>-13</v>
      </c>
      <c r="M163">
        <f t="shared" si="52"/>
        <v>-2.1061298501694914</v>
      </c>
      <c r="O163" s="2">
        <f t="shared" si="54"/>
        <v>-5</v>
      </c>
      <c r="P163">
        <f t="shared" si="55"/>
        <v>-0.81004994237288119</v>
      </c>
      <c r="R163" s="2">
        <f t="shared" si="63"/>
        <v>1</v>
      </c>
      <c r="S163">
        <f t="shared" si="64"/>
        <v>0.16200998847457626</v>
      </c>
      <c r="T163">
        <f t="shared" si="65"/>
        <v>0.56130628646855596</v>
      </c>
      <c r="V163" s="2">
        <f t="shared" si="58"/>
        <v>0</v>
      </c>
      <c r="W163">
        <f t="shared" si="59"/>
        <v>0</v>
      </c>
      <c r="Y163">
        <f t="shared" si="60"/>
        <v>0</v>
      </c>
    </row>
    <row r="164" spans="1:25" x14ac:dyDescent="0.25">
      <c r="A164" s="1">
        <v>162000</v>
      </c>
      <c r="B164" s="2">
        <v>54</v>
      </c>
      <c r="C164" s="2">
        <f t="shared" si="45"/>
        <v>8</v>
      </c>
      <c r="E164" s="4">
        <f t="shared" si="46"/>
        <v>0.9152542372881356</v>
      </c>
      <c r="F164">
        <f t="shared" si="47"/>
        <v>19.549830508474574</v>
      </c>
      <c r="G164">
        <f t="shared" si="48"/>
        <v>1304.1300935593219</v>
      </c>
      <c r="H164">
        <f t="shared" si="44"/>
        <v>1.3041300935593219</v>
      </c>
      <c r="I164" s="2">
        <f t="shared" si="49"/>
        <v>1</v>
      </c>
      <c r="K164">
        <f t="shared" si="50"/>
        <v>0.16301626169491523</v>
      </c>
      <c r="L164" s="2">
        <f t="shared" si="51"/>
        <v>0</v>
      </c>
      <c r="M164">
        <f t="shared" si="52"/>
        <v>0</v>
      </c>
      <c r="O164" s="2">
        <f t="shared" si="54"/>
        <v>-1</v>
      </c>
      <c r="P164">
        <f t="shared" si="55"/>
        <v>-0.16301626169491523</v>
      </c>
      <c r="R164" s="2">
        <f t="shared" si="63"/>
        <v>14</v>
      </c>
      <c r="S164">
        <f t="shared" si="64"/>
        <v>2.282227663728813</v>
      </c>
      <c r="T164">
        <f t="shared" si="65"/>
        <v>7.9070972528613943</v>
      </c>
      <c r="V164" s="2">
        <f t="shared" si="58"/>
        <v>11</v>
      </c>
      <c r="W164">
        <f t="shared" si="59"/>
        <v>1.7931788786440677</v>
      </c>
      <c r="Y164">
        <f t="shared" si="60"/>
        <v>6.2127192701053824</v>
      </c>
    </row>
    <row r="165" spans="1:25" x14ac:dyDescent="0.25">
      <c r="A165" s="1">
        <v>163000</v>
      </c>
      <c r="B165" s="2">
        <v>54</v>
      </c>
      <c r="C165" s="2">
        <f t="shared" si="45"/>
        <v>0</v>
      </c>
      <c r="E165" s="4">
        <f t="shared" si="46"/>
        <v>0.92090395480225984</v>
      </c>
      <c r="F165">
        <f t="shared" si="47"/>
        <v>19.67050847457627</v>
      </c>
      <c r="G165">
        <f t="shared" si="48"/>
        <v>0</v>
      </c>
      <c r="H165">
        <f t="shared" si="44"/>
        <v>0</v>
      </c>
      <c r="I165" s="2">
        <f t="shared" si="49"/>
        <v>7</v>
      </c>
      <c r="K165">
        <f t="shared" si="50"/>
        <v>1.1481577444067794</v>
      </c>
      <c r="L165" s="2">
        <f t="shared" si="51"/>
        <v>1</v>
      </c>
      <c r="M165">
        <f t="shared" si="52"/>
        <v>0.16402253491525423</v>
      </c>
      <c r="O165" s="2">
        <f t="shared" si="54"/>
        <v>-5</v>
      </c>
      <c r="P165">
        <f t="shared" si="55"/>
        <v>-0.82011267457627113</v>
      </c>
      <c r="R165" s="2">
        <f t="shared" si="63"/>
        <v>0</v>
      </c>
      <c r="S165">
        <f t="shared" si="64"/>
        <v>0</v>
      </c>
      <c r="T165">
        <f t="shared" si="65"/>
        <v>0</v>
      </c>
      <c r="V165" s="2">
        <f t="shared" si="58"/>
        <v>11</v>
      </c>
      <c r="W165">
        <f t="shared" si="59"/>
        <v>1.8042478840677965</v>
      </c>
      <c r="Y165">
        <f t="shared" si="60"/>
        <v>6.2510693890566511</v>
      </c>
    </row>
    <row r="166" spans="1:25" x14ac:dyDescent="0.25">
      <c r="A166" s="1">
        <v>164000</v>
      </c>
      <c r="B166" s="2">
        <v>56</v>
      </c>
      <c r="C166" s="2">
        <f t="shared" si="45"/>
        <v>-2</v>
      </c>
      <c r="E166" s="4">
        <f t="shared" si="46"/>
        <v>0.92655367231638419</v>
      </c>
      <c r="F166">
        <f t="shared" si="47"/>
        <v>19.791186440677965</v>
      </c>
      <c r="G166">
        <f t="shared" si="48"/>
        <v>-330.05761627118636</v>
      </c>
      <c r="H166">
        <f t="shared" si="44"/>
        <v>-0.33005761627118635</v>
      </c>
      <c r="I166" s="2">
        <f t="shared" si="49"/>
        <v>6</v>
      </c>
      <c r="K166">
        <f t="shared" si="50"/>
        <v>0.99017284881355927</v>
      </c>
      <c r="L166" s="2">
        <f t="shared" si="51"/>
        <v>-6</v>
      </c>
      <c r="M166">
        <f t="shared" si="52"/>
        <v>-0.99017284881355927</v>
      </c>
      <c r="O166" s="2">
        <f t="shared" si="54"/>
        <v>-2</v>
      </c>
      <c r="P166">
        <f t="shared" si="55"/>
        <v>-0.33005761627118646</v>
      </c>
      <c r="R166" s="2">
        <f t="shared" si="63"/>
        <v>9</v>
      </c>
      <c r="S166">
        <f t="shared" si="64"/>
        <v>1.4852592732203389</v>
      </c>
      <c r="T166">
        <f t="shared" si="65"/>
        <v>5.1458886883701149</v>
      </c>
      <c r="V166" s="2">
        <f t="shared" si="58"/>
        <v>7</v>
      </c>
      <c r="W166">
        <f t="shared" si="59"/>
        <v>1.1552016569491528</v>
      </c>
      <c r="Y166">
        <f t="shared" si="60"/>
        <v>4.0023578687323127</v>
      </c>
    </row>
    <row r="167" spans="1:25" x14ac:dyDescent="0.25">
      <c r="A167" s="1">
        <v>165000</v>
      </c>
      <c r="B167" s="2">
        <v>52</v>
      </c>
      <c r="C167" s="2">
        <f t="shared" si="45"/>
        <v>4</v>
      </c>
      <c r="E167" s="4">
        <f t="shared" si="46"/>
        <v>0.93220338983050843</v>
      </c>
      <c r="F167">
        <f t="shared" si="47"/>
        <v>19.91186440677966</v>
      </c>
      <c r="G167">
        <f t="shared" si="48"/>
        <v>664.14032542372877</v>
      </c>
      <c r="H167">
        <f t="shared" si="44"/>
        <v>0.66414032542372881</v>
      </c>
      <c r="I167" s="2">
        <f t="shared" si="49"/>
        <v>2</v>
      </c>
      <c r="K167">
        <f t="shared" si="50"/>
        <v>0.3320701627118644</v>
      </c>
      <c r="L167" s="2">
        <f t="shared" si="51"/>
        <v>-1</v>
      </c>
      <c r="M167">
        <f t="shared" si="52"/>
        <v>-0.1660350813559322</v>
      </c>
      <c r="O167" s="2">
        <f t="shared" si="54"/>
        <v>3</v>
      </c>
      <c r="P167">
        <f t="shared" si="55"/>
        <v>0.49810524406779655</v>
      </c>
      <c r="R167" s="2">
        <f t="shared" si="63"/>
        <v>10</v>
      </c>
      <c r="S167">
        <f t="shared" si="64"/>
        <v>1.6603508135593219</v>
      </c>
      <c r="T167">
        <f t="shared" si="65"/>
        <v>5.7525178426901693</v>
      </c>
      <c r="V167" s="2">
        <f t="shared" si="58"/>
        <v>2</v>
      </c>
      <c r="W167">
        <f t="shared" si="59"/>
        <v>0.3320701627118644</v>
      </c>
      <c r="Y167">
        <f t="shared" si="60"/>
        <v>1.150503568538034</v>
      </c>
    </row>
    <row r="168" spans="1:25" x14ac:dyDescent="0.25">
      <c r="A168" s="1">
        <v>166000</v>
      </c>
      <c r="B168" s="2">
        <v>49</v>
      </c>
      <c r="C168" s="2">
        <f t="shared" si="45"/>
        <v>3</v>
      </c>
      <c r="E168" s="4">
        <f t="shared" si="46"/>
        <v>0.93785310734463279</v>
      </c>
      <c r="F168">
        <f t="shared" si="47"/>
        <v>20.032542372881355</v>
      </c>
      <c r="G168">
        <f t="shared" si="48"/>
        <v>501.12406372881355</v>
      </c>
      <c r="H168">
        <f t="shared" si="44"/>
        <v>0.50112406372881357</v>
      </c>
      <c r="I168" s="2">
        <f t="shared" si="49"/>
        <v>5</v>
      </c>
      <c r="K168">
        <f t="shared" si="50"/>
        <v>0.83520677288135592</v>
      </c>
      <c r="L168" s="2">
        <f t="shared" si="51"/>
        <v>6</v>
      </c>
      <c r="M168">
        <f t="shared" si="52"/>
        <v>1.0022481274576271</v>
      </c>
      <c r="O168" s="2">
        <f t="shared" si="54"/>
        <v>1</v>
      </c>
      <c r="P168">
        <f t="shared" si="55"/>
        <v>0.16704135457627117</v>
      </c>
      <c r="R168" s="2">
        <f t="shared" si="63"/>
        <v>13</v>
      </c>
      <c r="S168">
        <f t="shared" si="64"/>
        <v>2.1715376094915251</v>
      </c>
      <c r="T168">
        <f t="shared" si="65"/>
        <v>7.5235960633487178</v>
      </c>
      <c r="V168" s="2">
        <f t="shared" si="58"/>
        <v>8</v>
      </c>
      <c r="W168">
        <f t="shared" si="59"/>
        <v>1.3363308366101694</v>
      </c>
      <c r="Y168">
        <f t="shared" si="60"/>
        <v>4.6299052697530581</v>
      </c>
    </row>
    <row r="169" spans="1:25" x14ac:dyDescent="0.25">
      <c r="A169" s="1">
        <v>167000</v>
      </c>
      <c r="B169" s="2">
        <v>46</v>
      </c>
      <c r="C169" s="2">
        <f t="shared" si="45"/>
        <v>3</v>
      </c>
      <c r="E169" s="4">
        <f t="shared" si="46"/>
        <v>0.94350282485875703</v>
      </c>
      <c r="F169">
        <f t="shared" si="47"/>
        <v>20.153220338983051</v>
      </c>
      <c r="G169">
        <f t="shared" si="48"/>
        <v>504.14288338983044</v>
      </c>
      <c r="H169">
        <f t="shared" si="44"/>
        <v>0.50414288338983049</v>
      </c>
      <c r="I169" s="2">
        <f t="shared" si="49"/>
        <v>10</v>
      </c>
      <c r="K169">
        <f t="shared" si="50"/>
        <v>1.6804762779661016</v>
      </c>
      <c r="L169" s="2">
        <f t="shared" si="51"/>
        <v>15</v>
      </c>
      <c r="M169">
        <f t="shared" si="52"/>
        <v>2.5207144169491524</v>
      </c>
      <c r="O169" s="2">
        <f t="shared" si="54"/>
        <v>5</v>
      </c>
      <c r="P169">
        <f t="shared" si="55"/>
        <v>0.84023813898305066</v>
      </c>
      <c r="R169" s="2">
        <f t="shared" si="63"/>
        <v>19</v>
      </c>
      <c r="S169">
        <f t="shared" si="64"/>
        <v>3.1929049281355928</v>
      </c>
      <c r="T169">
        <f t="shared" si="65"/>
        <v>11.062266130215701</v>
      </c>
      <c r="V169" s="2">
        <f t="shared" si="58"/>
        <v>7</v>
      </c>
      <c r="W169">
        <f t="shared" si="59"/>
        <v>1.1763333945762711</v>
      </c>
      <c r="Y169">
        <f t="shared" si="60"/>
        <v>4.0755717321847316</v>
      </c>
    </row>
    <row r="170" spans="1:25" x14ac:dyDescent="0.25">
      <c r="A170" s="1">
        <v>168000</v>
      </c>
      <c r="B170" s="2">
        <v>48</v>
      </c>
      <c r="C170" s="2">
        <f t="shared" si="45"/>
        <v>-2</v>
      </c>
      <c r="E170" s="4">
        <f t="shared" si="46"/>
        <v>0.94915254237288138</v>
      </c>
      <c r="F170">
        <f t="shared" si="47"/>
        <v>20.273898305084746</v>
      </c>
      <c r="G170">
        <f t="shared" si="48"/>
        <v>-338.10780203389828</v>
      </c>
      <c r="H170">
        <f t="shared" si="44"/>
        <v>-0.33810780203389829</v>
      </c>
      <c r="I170" s="2">
        <f t="shared" si="49"/>
        <v>4</v>
      </c>
      <c r="K170">
        <f t="shared" si="50"/>
        <v>0.67621560406779657</v>
      </c>
      <c r="L170" s="2">
        <f t="shared" si="51"/>
        <v>14</v>
      </c>
      <c r="M170">
        <f t="shared" si="52"/>
        <v>2.3667546142372884</v>
      </c>
      <c r="O170" s="2">
        <f t="shared" si="54"/>
        <v>7</v>
      </c>
      <c r="P170">
        <f t="shared" si="55"/>
        <v>1.1833773071186442</v>
      </c>
      <c r="R170" s="2">
        <f t="shared" si="63"/>
        <v>17</v>
      </c>
      <c r="S170">
        <f t="shared" si="64"/>
        <v>2.8739163172881357</v>
      </c>
      <c r="T170">
        <f t="shared" si="65"/>
        <v>9.9570854295291671</v>
      </c>
      <c r="V170" s="2">
        <f t="shared" si="58"/>
        <v>1</v>
      </c>
      <c r="W170">
        <f t="shared" si="59"/>
        <v>0.16905390101694914</v>
      </c>
      <c r="Y170">
        <f t="shared" si="60"/>
        <v>0.58571090761936273</v>
      </c>
    </row>
    <row r="171" spans="1:25" x14ac:dyDescent="0.25">
      <c r="A171" s="1">
        <v>169000</v>
      </c>
      <c r="B171" s="2">
        <v>57</v>
      </c>
      <c r="C171" s="2">
        <f t="shared" si="45"/>
        <v>-9</v>
      </c>
      <c r="E171" s="4">
        <f t="shared" si="46"/>
        <v>0.95480225988700562</v>
      </c>
      <c r="F171">
        <f t="shared" si="47"/>
        <v>20.394576271186441</v>
      </c>
      <c r="G171">
        <f t="shared" si="48"/>
        <v>-1530.541568135593</v>
      </c>
      <c r="H171">
        <f t="shared" si="44"/>
        <v>-1.5305415681355929</v>
      </c>
      <c r="I171" s="2">
        <f t="shared" si="49"/>
        <v>-8</v>
      </c>
      <c r="K171">
        <f t="shared" si="50"/>
        <v>-1.3604813938983049</v>
      </c>
      <c r="L171" s="2">
        <f t="shared" si="51"/>
        <v>-3</v>
      </c>
      <c r="M171">
        <f t="shared" si="52"/>
        <v>-0.51018052271186443</v>
      </c>
      <c r="O171" s="2">
        <f t="shared" si="54"/>
        <v>4</v>
      </c>
      <c r="P171">
        <f t="shared" si="55"/>
        <v>0.68024069694915246</v>
      </c>
      <c r="R171" s="2">
        <f t="shared" si="63"/>
        <v>6</v>
      </c>
      <c r="S171">
        <f t="shared" si="64"/>
        <v>1.0203610454237289</v>
      </c>
      <c r="T171">
        <f t="shared" si="65"/>
        <v>3.5351836924168683</v>
      </c>
      <c r="V171" s="2">
        <f t="shared" si="58"/>
        <v>-3</v>
      </c>
      <c r="W171">
        <f t="shared" si="59"/>
        <v>-0.51018052271186443</v>
      </c>
      <c r="Y171">
        <f t="shared" si="60"/>
        <v>-1.7675918462084341</v>
      </c>
    </row>
    <row r="172" spans="1:25" x14ac:dyDescent="0.25">
      <c r="A172" s="1">
        <v>170000</v>
      </c>
      <c r="B172" s="2">
        <v>49</v>
      </c>
      <c r="C172" s="2">
        <f t="shared" si="45"/>
        <v>8</v>
      </c>
      <c r="E172" s="4">
        <f t="shared" si="46"/>
        <v>0.96045197740112997</v>
      </c>
      <c r="F172">
        <f t="shared" si="47"/>
        <v>20.515254237288136</v>
      </c>
      <c r="G172">
        <f t="shared" si="48"/>
        <v>1368.5315796610168</v>
      </c>
      <c r="H172">
        <f t="shared" si="44"/>
        <v>1.3685315796610169</v>
      </c>
      <c r="I172" s="2">
        <f t="shared" si="49"/>
        <v>-3</v>
      </c>
      <c r="K172">
        <f t="shared" si="50"/>
        <v>-0.51319934237288134</v>
      </c>
      <c r="L172" s="2">
        <f t="shared" si="51"/>
        <v>5</v>
      </c>
      <c r="M172">
        <f t="shared" si="52"/>
        <v>0.85533223728813557</v>
      </c>
      <c r="O172" s="2">
        <f t="shared" si="54"/>
        <v>13</v>
      </c>
      <c r="P172">
        <f t="shared" si="55"/>
        <v>2.2238638169491529</v>
      </c>
      <c r="R172" s="2">
        <f t="shared" si="63"/>
        <v>5</v>
      </c>
      <c r="S172">
        <f t="shared" si="64"/>
        <v>0.85533223728813557</v>
      </c>
      <c r="T172">
        <f t="shared" si="65"/>
        <v>2.9634182825979667</v>
      </c>
      <c r="V172" s="2">
        <f t="shared" si="58"/>
        <v>6</v>
      </c>
      <c r="W172">
        <f t="shared" si="59"/>
        <v>1.0263986847457627</v>
      </c>
      <c r="Y172">
        <f t="shared" si="60"/>
        <v>3.5561019391175597</v>
      </c>
    </row>
    <row r="173" spans="1:25" x14ac:dyDescent="0.25">
      <c r="A173" s="1">
        <v>171000</v>
      </c>
      <c r="B173" s="2">
        <v>52</v>
      </c>
      <c r="C173" s="5">
        <f>(B173-B172)/2</f>
        <v>1.5</v>
      </c>
      <c r="E173" s="4">
        <f t="shared" si="46"/>
        <v>0.96610169491525422</v>
      </c>
      <c r="F173">
        <f t="shared" si="47"/>
        <v>20.635932203389828</v>
      </c>
      <c r="G173">
        <f t="shared" si="48"/>
        <v>258.10908101694912</v>
      </c>
      <c r="H173">
        <f t="shared" si="44"/>
        <v>0.25810908101694913</v>
      </c>
      <c r="I173" s="2">
        <f t="shared" si="49"/>
        <v>-4</v>
      </c>
      <c r="K173">
        <f t="shared" si="50"/>
        <v>-0.68829088271186434</v>
      </c>
      <c r="L173" s="2">
        <f t="shared" si="51"/>
        <v>4</v>
      </c>
      <c r="M173">
        <f t="shared" si="52"/>
        <v>0.68829088271186434</v>
      </c>
      <c r="O173" s="2">
        <f t="shared" si="54"/>
        <v>2</v>
      </c>
      <c r="P173">
        <f t="shared" si="55"/>
        <v>0.34414544135593217</v>
      </c>
      <c r="R173" s="2">
        <f t="shared" si="63"/>
        <v>5</v>
      </c>
      <c r="S173">
        <f t="shared" si="64"/>
        <v>0.86036360338983031</v>
      </c>
      <c r="T173">
        <f t="shared" si="65"/>
        <v>2.9808501548485418</v>
      </c>
      <c r="V173" s="2">
        <f t="shared" si="58"/>
        <v>-2</v>
      </c>
      <c r="W173">
        <f t="shared" si="59"/>
        <v>-0.34414544135593217</v>
      </c>
      <c r="Y173">
        <f t="shared" si="60"/>
        <v>-1.1923400619394169</v>
      </c>
    </row>
    <row r="174" spans="1:25" x14ac:dyDescent="0.25">
      <c r="A174" s="1">
        <v>172000</v>
      </c>
      <c r="B174" s="2">
        <v>52</v>
      </c>
      <c r="C174" s="2">
        <f t="shared" si="45"/>
        <v>0</v>
      </c>
      <c r="E174" s="4">
        <f t="shared" si="46"/>
        <v>0.97175141242937857</v>
      </c>
      <c r="F174">
        <f t="shared" si="47"/>
        <v>20.756610169491527</v>
      </c>
      <c r="G174">
        <f t="shared" si="48"/>
        <v>0</v>
      </c>
      <c r="H174">
        <f t="shared" si="44"/>
        <v>0</v>
      </c>
      <c r="I174" s="2">
        <f t="shared" si="49"/>
        <v>5</v>
      </c>
      <c r="K174">
        <f t="shared" si="50"/>
        <v>0.86539496949152539</v>
      </c>
      <c r="L174" s="2">
        <f t="shared" si="51"/>
        <v>0</v>
      </c>
      <c r="M174">
        <f t="shared" si="52"/>
        <v>0</v>
      </c>
      <c r="O174" s="2">
        <f t="shared" si="54"/>
        <v>2</v>
      </c>
      <c r="P174">
        <f t="shared" si="55"/>
        <v>0.34615798779661022</v>
      </c>
      <c r="R174" s="2">
        <f t="shared" si="63"/>
        <v>1</v>
      </c>
      <c r="S174">
        <f t="shared" si="64"/>
        <v>0.17307899389830511</v>
      </c>
      <c r="T174">
        <f t="shared" si="65"/>
        <v>0.59965640541982379</v>
      </c>
      <c r="V174" s="2">
        <f t="shared" si="58"/>
        <v>-1</v>
      </c>
      <c r="W174">
        <f t="shared" si="59"/>
        <v>-0.17307899389830511</v>
      </c>
      <c r="Y174">
        <f t="shared" si="60"/>
        <v>-0.59965640541982379</v>
      </c>
    </row>
    <row r="175" spans="1:25" x14ac:dyDescent="0.25">
      <c r="A175" s="1">
        <v>173000</v>
      </c>
      <c r="B175" s="2">
        <v>54</v>
      </c>
      <c r="C175" s="5">
        <f>(B175-B174)/2</f>
        <v>1</v>
      </c>
      <c r="E175" s="4">
        <f t="shared" si="46"/>
        <v>0.97740112994350281</v>
      </c>
      <c r="F175">
        <f t="shared" si="47"/>
        <v>20.877288135593218</v>
      </c>
      <c r="G175">
        <f t="shared" si="48"/>
        <v>174.08526711864405</v>
      </c>
      <c r="H175">
        <f t="shared" ref="H175:H179" si="66">G175/1000</f>
        <v>0.17408526711864405</v>
      </c>
      <c r="I175" s="2">
        <f t="shared" si="49"/>
        <v>-5</v>
      </c>
      <c r="K175">
        <f t="shared" si="50"/>
        <v>-0.87042633559322025</v>
      </c>
      <c r="L175" s="2">
        <f t="shared" si="51"/>
        <v>-5</v>
      </c>
      <c r="M175">
        <f t="shared" si="52"/>
        <v>-0.87042633559322036</v>
      </c>
      <c r="O175" s="2">
        <f t="shared" si="54"/>
        <v>2</v>
      </c>
      <c r="P175">
        <f t="shared" si="55"/>
        <v>0.34817053423728811</v>
      </c>
      <c r="R175" s="2">
        <f t="shared" si="63"/>
        <v>-5</v>
      </c>
      <c r="S175">
        <f t="shared" si="64"/>
        <v>-0.87042633559322036</v>
      </c>
      <c r="T175">
        <f t="shared" si="65"/>
        <v>-3.015713899349695</v>
      </c>
      <c r="V175" s="2">
        <f t="shared" si="58"/>
        <v>1</v>
      </c>
      <c r="W175">
        <f t="shared" si="59"/>
        <v>0.17408526711864405</v>
      </c>
      <c r="Y175">
        <f t="shared" si="60"/>
        <v>0.60314277986993903</v>
      </c>
    </row>
    <row r="176" spans="1:25" x14ac:dyDescent="0.25">
      <c r="A176" s="1">
        <v>174000</v>
      </c>
      <c r="B176" s="2">
        <v>52</v>
      </c>
      <c r="C176" s="2">
        <f t="shared" si="45"/>
        <v>2</v>
      </c>
      <c r="E176" s="4">
        <f t="shared" si="46"/>
        <v>0.98305084745762716</v>
      </c>
      <c r="F176">
        <f t="shared" si="47"/>
        <v>20.997966101694917</v>
      </c>
      <c r="G176">
        <f t="shared" si="48"/>
        <v>350.18308067796619</v>
      </c>
      <c r="H176">
        <f t="shared" si="66"/>
        <v>0.35018308067796616</v>
      </c>
      <c r="I176" s="2">
        <f t="shared" si="49"/>
        <v>0</v>
      </c>
      <c r="K176">
        <f t="shared" si="50"/>
        <v>0</v>
      </c>
      <c r="L176" s="2">
        <f t="shared" si="51"/>
        <v>-6</v>
      </c>
      <c r="M176">
        <f t="shared" si="52"/>
        <v>-1.0505492420338984</v>
      </c>
      <c r="O176" s="2">
        <f t="shared" si="54"/>
        <v>0</v>
      </c>
      <c r="P176">
        <f t="shared" si="55"/>
        <v>0</v>
      </c>
      <c r="R176" s="2">
        <f t="shared" si="63"/>
        <v>2</v>
      </c>
      <c r="S176">
        <f t="shared" si="64"/>
        <v>0.35018308067796611</v>
      </c>
      <c r="T176">
        <f t="shared" si="65"/>
        <v>1.2132583086401088</v>
      </c>
      <c r="V176" s="2">
        <f t="shared" si="58"/>
        <v>9</v>
      </c>
      <c r="W176">
        <f t="shared" si="59"/>
        <v>1.5758238630508477</v>
      </c>
      <c r="Y176">
        <f t="shared" si="60"/>
        <v>5.4596623888804894</v>
      </c>
    </row>
    <row r="177" spans="1:25" x14ac:dyDescent="0.25">
      <c r="A177" s="1">
        <v>175000</v>
      </c>
      <c r="B177" s="2">
        <v>49</v>
      </c>
      <c r="C177" s="2">
        <f t="shared" si="45"/>
        <v>3</v>
      </c>
      <c r="E177" s="4">
        <f t="shared" si="46"/>
        <v>0.98870056497175141</v>
      </c>
      <c r="F177">
        <f t="shared" si="47"/>
        <v>21.118644067796609</v>
      </c>
      <c r="G177">
        <f t="shared" si="48"/>
        <v>528.29344067796615</v>
      </c>
      <c r="H177">
        <f t="shared" si="66"/>
        <v>0.52829344067796613</v>
      </c>
      <c r="I177" s="2">
        <f t="shared" si="49"/>
        <v>3</v>
      </c>
      <c r="K177">
        <f t="shared" si="50"/>
        <v>0.52829344067796613</v>
      </c>
      <c r="L177" s="2">
        <f t="shared" si="51"/>
        <v>-1</v>
      </c>
      <c r="M177">
        <f t="shared" si="52"/>
        <v>-0.176097813559322</v>
      </c>
      <c r="O177" s="2">
        <f t="shared" si="54"/>
        <v>0</v>
      </c>
      <c r="P177">
        <f t="shared" si="55"/>
        <v>0</v>
      </c>
      <c r="R177" s="2">
        <f t="shared" si="63"/>
        <v>6</v>
      </c>
      <c r="S177">
        <f t="shared" si="64"/>
        <v>1.056586881355932</v>
      </c>
      <c r="T177">
        <f t="shared" si="65"/>
        <v>3.6606931726210168</v>
      </c>
      <c r="V177" s="2">
        <f t="shared" si="58"/>
        <v>13</v>
      </c>
      <c r="W177">
        <f t="shared" si="59"/>
        <v>2.2892715762711862</v>
      </c>
      <c r="Y177">
        <f t="shared" si="60"/>
        <v>7.9315018740122021</v>
      </c>
    </row>
    <row r="178" spans="1:25" x14ac:dyDescent="0.25">
      <c r="A178" s="1">
        <v>176000</v>
      </c>
      <c r="B178" s="2">
        <v>53</v>
      </c>
      <c r="C178" s="5">
        <f>(B179-B177)/2</f>
        <v>2.5</v>
      </c>
      <c r="E178" s="4">
        <f t="shared" si="46"/>
        <v>0.99435028248587576</v>
      </c>
      <c r="F178">
        <f t="shared" si="47"/>
        <v>21.239322033898304</v>
      </c>
      <c r="G178">
        <f t="shared" si="48"/>
        <v>442.76021694915261</v>
      </c>
      <c r="H178">
        <f t="shared" si="66"/>
        <v>0.44276021694915263</v>
      </c>
      <c r="I178" s="2">
        <f t="shared" si="49"/>
        <v>1</v>
      </c>
      <c r="K178">
        <f t="shared" si="50"/>
        <v>0.17710408677966097</v>
      </c>
      <c r="L178" s="2">
        <f t="shared" si="51"/>
        <v>4</v>
      </c>
      <c r="M178">
        <f t="shared" si="52"/>
        <v>0.70841634711864387</v>
      </c>
      <c r="O178" s="2">
        <f t="shared" si="54"/>
        <v>-7</v>
      </c>
      <c r="P178">
        <f t="shared" si="55"/>
        <v>-1.239728607457627</v>
      </c>
      <c r="R178" s="2">
        <f t="shared" si="63"/>
        <v>-3</v>
      </c>
      <c r="S178">
        <f t="shared" si="64"/>
        <v>-0.53131226033898304</v>
      </c>
      <c r="T178">
        <f t="shared" si="65"/>
        <v>-1.8408057096608543</v>
      </c>
      <c r="V178" s="2">
        <f t="shared" si="58"/>
        <v>1</v>
      </c>
      <c r="W178">
        <f t="shared" si="59"/>
        <v>0.17710408677966097</v>
      </c>
      <c r="Y178">
        <f t="shared" si="60"/>
        <v>0.61360190322028463</v>
      </c>
    </row>
    <row r="179" spans="1:25" x14ac:dyDescent="0.25">
      <c r="A179" s="1">
        <v>177000</v>
      </c>
      <c r="B179" s="2">
        <v>54</v>
      </c>
      <c r="C179" s="2">
        <f t="shared" si="45"/>
        <v>-1</v>
      </c>
      <c r="E179" s="4">
        <f t="shared" si="46"/>
        <v>1</v>
      </c>
      <c r="F179">
        <f t="shared" si="47"/>
        <v>21.36</v>
      </c>
      <c r="G179">
        <f t="shared" si="48"/>
        <v>-178.11036000000001</v>
      </c>
      <c r="H179">
        <f t="shared" si="66"/>
        <v>-0.17811036000000002</v>
      </c>
      <c r="I179" s="2">
        <f t="shared" si="49"/>
        <v>-2</v>
      </c>
      <c r="K179">
        <f t="shared" si="50"/>
        <v>-0.35622071999999999</v>
      </c>
      <c r="L179" s="2">
        <f t="shared" si="51"/>
        <v>-5</v>
      </c>
      <c r="M179">
        <f t="shared" si="52"/>
        <v>-0.89055179999999989</v>
      </c>
      <c r="O179" s="2">
        <f t="shared" si="54"/>
        <v>-6</v>
      </c>
      <c r="P179">
        <f t="shared" si="55"/>
        <v>-1.0686621600000001</v>
      </c>
      <c r="R179" s="2">
        <f t="shared" si="63"/>
        <v>-3</v>
      </c>
      <c r="S179">
        <f t="shared" si="64"/>
        <v>-0.53433108000000007</v>
      </c>
      <c r="T179">
        <f t="shared" si="65"/>
        <v>-1.8512648330112003</v>
      </c>
      <c r="V179" s="2">
        <f t="shared" si="58"/>
        <v>0</v>
      </c>
      <c r="W179">
        <f t="shared" si="59"/>
        <v>0</v>
      </c>
      <c r="Y179">
        <f t="shared" si="60"/>
        <v>0</v>
      </c>
    </row>
  </sheetData>
  <pageMargins left="0.7" right="0.7" top="0.75" bottom="0.75" header="0.3" footer="0.3"/>
  <pageSetup paperSize="9" orientation="portrait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79"/>
  <sheetViews>
    <sheetView tabSelected="1" workbookViewId="0">
      <pane ySplit="1" topLeftCell="A32" activePane="bottomLeft" state="frozen"/>
      <selection pane="bottomLeft" activeCell="E53" sqref="E53"/>
    </sheetView>
  </sheetViews>
  <sheetFormatPr baseColWidth="10" defaultRowHeight="15" x14ac:dyDescent="0.25"/>
  <cols>
    <col min="1" max="1" width="24.5703125" style="1" customWidth="1"/>
    <col min="2" max="2" width="12" style="2" customWidth="1"/>
  </cols>
  <sheetData>
    <row r="1" spans="1:26" x14ac:dyDescent="0.25">
      <c r="A1" s="1" t="s">
        <v>0</v>
      </c>
      <c r="B1" s="2" t="s">
        <v>1</v>
      </c>
      <c r="C1" t="s">
        <v>3</v>
      </c>
      <c r="D1" s="8" t="s">
        <v>4</v>
      </c>
      <c r="E1" s="8" t="s">
        <v>5</v>
      </c>
      <c r="F1" t="s">
        <v>6</v>
      </c>
      <c r="G1" s="8" t="s">
        <v>7</v>
      </c>
      <c r="I1">
        <v>3.8690000000000002</v>
      </c>
      <c r="J1" t="s">
        <v>8</v>
      </c>
      <c r="K1" t="s">
        <v>9</v>
      </c>
      <c r="L1" t="s">
        <v>10</v>
      </c>
      <c r="O1" t="s">
        <v>11</v>
      </c>
      <c r="R1" t="s">
        <v>12</v>
      </c>
      <c r="S1" t="s">
        <v>13</v>
      </c>
      <c r="T1" t="s">
        <v>14</v>
      </c>
      <c r="V1" s="3" t="s">
        <v>15</v>
      </c>
      <c r="W1" s="3" t="s">
        <v>9</v>
      </c>
      <c r="X1" s="3"/>
      <c r="Y1" s="3" t="s">
        <v>14</v>
      </c>
      <c r="Z1" t="s">
        <v>16</v>
      </c>
    </row>
    <row r="2" spans="1:26" x14ac:dyDescent="0.25">
      <c r="A2" s="1">
        <v>0</v>
      </c>
      <c r="B2" s="2">
        <v>1606</v>
      </c>
      <c r="C2" s="2">
        <f>Table1[[#This Row],[Elev_CEM1]]-B22</f>
        <v>950</v>
      </c>
      <c r="D2">
        <f>Table1[[#This Row],[distance]]/$A$179</f>
        <v>0</v>
      </c>
      <c r="E2">
        <f t="shared" ref="E2:E33" si="0">21.36*D2</f>
        <v>0</v>
      </c>
    </row>
    <row r="3" spans="1:26" x14ac:dyDescent="0.25">
      <c r="A3" s="1">
        <v>1000</v>
      </c>
      <c r="B3" s="2">
        <v>1500</v>
      </c>
      <c r="C3" s="2">
        <f>Table1[[#This Row],[Elev_CEM1]]-B23</f>
        <v>871</v>
      </c>
      <c r="D3">
        <f>Table1[[#This Row],[distance]]/$A$179</f>
        <v>5.6497175141242938E-3</v>
      </c>
      <c r="E3">
        <f t="shared" si="0"/>
        <v>0.12067796610169491</v>
      </c>
    </row>
    <row r="4" spans="1:26" x14ac:dyDescent="0.25">
      <c r="A4" s="1">
        <v>2000</v>
      </c>
      <c r="B4" s="2">
        <v>1440</v>
      </c>
      <c r="C4" s="2">
        <f>Table1[[#This Row],[Elev_CEM1]]-B24</f>
        <v>833</v>
      </c>
      <c r="D4">
        <f>Table1[[#This Row],[distance]]/$A$179</f>
        <v>1.1299435028248588E-2</v>
      </c>
      <c r="E4">
        <f t="shared" si="0"/>
        <v>0.24135593220338983</v>
      </c>
    </row>
    <row r="5" spans="1:26" x14ac:dyDescent="0.25">
      <c r="A5" s="1">
        <v>3000</v>
      </c>
      <c r="B5" s="2">
        <v>1336</v>
      </c>
      <c r="C5" s="2">
        <f>Table1[[#This Row],[Elev_CEM1]]-B25</f>
        <v>748</v>
      </c>
      <c r="D5">
        <f>Table1[[#This Row],[distance]]/$A$179</f>
        <v>1.6949152542372881E-2</v>
      </c>
      <c r="E5">
        <f t="shared" si="0"/>
        <v>0.36203389830508476</v>
      </c>
      <c r="I5" s="2">
        <f t="shared" ref="I5:I36" si="1">B2-B5</f>
        <v>270</v>
      </c>
      <c r="K5">
        <f t="shared" ref="K5:K36" si="2">(1000*9.81*I5*F5*0.85)/1000000</f>
        <v>0</v>
      </c>
    </row>
    <row r="6" spans="1:26" x14ac:dyDescent="0.25">
      <c r="A6" s="1">
        <v>4000</v>
      </c>
      <c r="B6" s="2">
        <v>1257</v>
      </c>
      <c r="C6" s="2">
        <f>Table1[[#This Row],[Elev_CEM1]]-B26</f>
        <v>672</v>
      </c>
      <c r="D6">
        <f>Table1[[#This Row],[distance]]/$A$179</f>
        <v>2.2598870056497175E-2</v>
      </c>
      <c r="E6">
        <f t="shared" si="0"/>
        <v>0.48271186440677966</v>
      </c>
      <c r="I6" s="2">
        <f t="shared" si="1"/>
        <v>243</v>
      </c>
      <c r="K6">
        <f t="shared" si="2"/>
        <v>0</v>
      </c>
    </row>
    <row r="7" spans="1:26" x14ac:dyDescent="0.25">
      <c r="A7" s="1">
        <v>5000</v>
      </c>
      <c r="B7" s="2">
        <v>1199</v>
      </c>
      <c r="C7" s="2">
        <f>Table1[[#This Row],[Elev_CEM1]]-B27</f>
        <v>619</v>
      </c>
      <c r="D7">
        <f>Table1[[#This Row],[distance]]/$A$179</f>
        <v>2.8248587570621469E-2</v>
      </c>
      <c r="E7">
        <f t="shared" si="0"/>
        <v>0.60338983050847461</v>
      </c>
      <c r="I7" s="2">
        <f t="shared" si="1"/>
        <v>241</v>
      </c>
      <c r="K7">
        <f t="shared" si="2"/>
        <v>0</v>
      </c>
    </row>
    <row r="8" spans="1:26" x14ac:dyDescent="0.25">
      <c r="A8" s="1">
        <v>6000</v>
      </c>
      <c r="B8" s="2">
        <v>1133</v>
      </c>
      <c r="C8" s="2">
        <f>Table1[[#This Row],[Elev_CEM1]]-B28</f>
        <v>574</v>
      </c>
      <c r="D8">
        <f>Table1[[#This Row],[distance]]/$A$179</f>
        <v>3.3898305084745763E-2</v>
      </c>
      <c r="E8">
        <f t="shared" si="0"/>
        <v>0.72406779661016951</v>
      </c>
      <c r="I8" s="2">
        <f t="shared" si="1"/>
        <v>203</v>
      </c>
      <c r="K8">
        <f t="shared" si="2"/>
        <v>0</v>
      </c>
    </row>
    <row r="9" spans="1:26" x14ac:dyDescent="0.25">
      <c r="A9" s="1">
        <v>7000</v>
      </c>
      <c r="B9" s="2">
        <v>1056</v>
      </c>
      <c r="C9" s="2">
        <f>Table1[[#This Row],[Elev_CEM1]]-B29</f>
        <v>508</v>
      </c>
      <c r="D9">
        <f>Table1[[#This Row],[distance]]/$A$179</f>
        <v>3.954802259887006E-2</v>
      </c>
      <c r="E9">
        <f t="shared" si="0"/>
        <v>0.84474576271186441</v>
      </c>
      <c r="I9" s="2">
        <f t="shared" si="1"/>
        <v>201</v>
      </c>
      <c r="K9">
        <f t="shared" si="2"/>
        <v>0</v>
      </c>
      <c r="L9" s="2">
        <f t="shared" ref="L9:L40" si="3">B2-B9</f>
        <v>550</v>
      </c>
      <c r="M9">
        <f t="shared" ref="M9:M40" si="4">(1000*9.81*F9*L9*0.85)/1000000</f>
        <v>0</v>
      </c>
    </row>
    <row r="10" spans="1:26" x14ac:dyDescent="0.25">
      <c r="A10" s="1">
        <v>8000</v>
      </c>
      <c r="B10" s="2">
        <v>997</v>
      </c>
      <c r="C10" s="2">
        <f>Table1[[#This Row],[Elev_CEM1]]-B30</f>
        <v>468</v>
      </c>
      <c r="D10">
        <f>Table1[[#This Row],[distance]]/$A$179</f>
        <v>4.519774011299435E-2</v>
      </c>
      <c r="E10">
        <f t="shared" si="0"/>
        <v>0.96542372881355931</v>
      </c>
      <c r="I10" s="2">
        <f t="shared" si="1"/>
        <v>202</v>
      </c>
      <c r="K10">
        <f t="shared" si="2"/>
        <v>0</v>
      </c>
      <c r="L10" s="2">
        <f t="shared" si="3"/>
        <v>503</v>
      </c>
      <c r="M10">
        <f t="shared" si="4"/>
        <v>0</v>
      </c>
    </row>
    <row r="11" spans="1:26" x14ac:dyDescent="0.25">
      <c r="A11" s="1">
        <v>9000</v>
      </c>
      <c r="B11" s="2">
        <v>956</v>
      </c>
      <c r="C11" s="2">
        <f>Table1[[#This Row],[Elev_CEM1]]-B31</f>
        <v>445</v>
      </c>
      <c r="D11">
        <f>Table1[[#This Row],[distance]]/$A$179</f>
        <v>5.0847457627118647E-2</v>
      </c>
      <c r="E11">
        <f t="shared" si="0"/>
        <v>1.0861016949152542</v>
      </c>
      <c r="I11" s="2">
        <f t="shared" si="1"/>
        <v>177</v>
      </c>
      <c r="K11">
        <f t="shared" si="2"/>
        <v>0</v>
      </c>
      <c r="L11" s="2">
        <f t="shared" si="3"/>
        <v>484</v>
      </c>
      <c r="M11">
        <f t="shared" si="4"/>
        <v>0</v>
      </c>
      <c r="O11" s="2">
        <f t="shared" ref="O11:O42" si="5">B2-B11</f>
        <v>650</v>
      </c>
      <c r="P11">
        <f t="shared" ref="P11:P42" si="6">(1000*9.81*F11*O11*0.85)/1000000</f>
        <v>0</v>
      </c>
    </row>
    <row r="12" spans="1:26" x14ac:dyDescent="0.25">
      <c r="A12" s="1">
        <v>10000</v>
      </c>
      <c r="B12" s="2">
        <v>907</v>
      </c>
      <c r="C12" s="2">
        <f>Table1[[#This Row],[Elev_CEM1]]-B32</f>
        <v>421</v>
      </c>
      <c r="D12">
        <f>Table1[[#This Row],[distance]]/$A$179</f>
        <v>5.6497175141242938E-2</v>
      </c>
      <c r="E12">
        <f t="shared" si="0"/>
        <v>1.2067796610169492</v>
      </c>
      <c r="I12" s="2">
        <f t="shared" si="1"/>
        <v>149</v>
      </c>
      <c r="K12">
        <f t="shared" si="2"/>
        <v>0</v>
      </c>
      <c r="L12" s="2">
        <f t="shared" si="3"/>
        <v>429</v>
      </c>
      <c r="M12">
        <f t="shared" si="4"/>
        <v>0</v>
      </c>
      <c r="O12" s="2">
        <f t="shared" si="5"/>
        <v>593</v>
      </c>
      <c r="P12">
        <f t="shared" si="6"/>
        <v>0</v>
      </c>
    </row>
    <row r="13" spans="1:26" x14ac:dyDescent="0.25">
      <c r="A13" s="1">
        <v>11000</v>
      </c>
      <c r="B13" s="2">
        <v>869</v>
      </c>
      <c r="C13" s="2">
        <f>Table1[[#This Row],[Elev_CEM1]]-B33</f>
        <v>396</v>
      </c>
      <c r="D13">
        <f>Table1[[#This Row],[distance]]/$A$179</f>
        <v>6.2146892655367235E-2</v>
      </c>
      <c r="E13">
        <f t="shared" si="0"/>
        <v>1.327457627118644</v>
      </c>
      <c r="I13" s="2">
        <f t="shared" si="1"/>
        <v>128</v>
      </c>
      <c r="K13">
        <f t="shared" si="2"/>
        <v>0</v>
      </c>
      <c r="L13" s="2">
        <f t="shared" si="3"/>
        <v>388</v>
      </c>
      <c r="M13">
        <f t="shared" si="4"/>
        <v>0</v>
      </c>
      <c r="O13" s="2">
        <f t="shared" si="5"/>
        <v>571</v>
      </c>
      <c r="P13">
        <f t="shared" si="6"/>
        <v>0</v>
      </c>
    </row>
    <row r="14" spans="1:26" x14ac:dyDescent="0.25">
      <c r="A14" s="1">
        <v>12000</v>
      </c>
      <c r="B14" s="2">
        <v>843</v>
      </c>
      <c r="C14" s="2">
        <f>Table1[[#This Row],[Elev_CEM1]]-B34</f>
        <v>381</v>
      </c>
      <c r="D14">
        <f>Table1[[#This Row],[distance]]/$A$179</f>
        <v>6.7796610169491525E-2</v>
      </c>
      <c r="E14">
        <f t="shared" si="0"/>
        <v>1.448135593220339</v>
      </c>
      <c r="I14" s="2">
        <f t="shared" si="1"/>
        <v>113</v>
      </c>
      <c r="K14">
        <f t="shared" si="2"/>
        <v>0</v>
      </c>
      <c r="L14" s="2">
        <f t="shared" si="3"/>
        <v>356</v>
      </c>
      <c r="M14">
        <f t="shared" si="4"/>
        <v>0</v>
      </c>
      <c r="O14" s="2">
        <f t="shared" si="5"/>
        <v>493</v>
      </c>
      <c r="P14">
        <f t="shared" si="6"/>
        <v>0</v>
      </c>
    </row>
    <row r="15" spans="1:26" x14ac:dyDescent="0.25">
      <c r="A15" s="1">
        <v>13000</v>
      </c>
      <c r="B15" s="2">
        <v>835</v>
      </c>
      <c r="C15" s="2">
        <f>Table1[[#This Row],[Elev_CEM1]]-B35</f>
        <v>384</v>
      </c>
      <c r="D15">
        <f>Table1[[#This Row],[distance]]/$A$179</f>
        <v>7.3446327683615822E-2</v>
      </c>
      <c r="E15">
        <f t="shared" si="0"/>
        <v>1.568813559322034</v>
      </c>
      <c r="I15" s="2">
        <f t="shared" si="1"/>
        <v>72</v>
      </c>
      <c r="K15">
        <f t="shared" si="2"/>
        <v>0</v>
      </c>
      <c r="L15" s="2">
        <f t="shared" si="3"/>
        <v>298</v>
      </c>
      <c r="M15">
        <f t="shared" si="4"/>
        <v>0</v>
      </c>
      <c r="O15" s="2">
        <f t="shared" si="5"/>
        <v>422</v>
      </c>
      <c r="P15">
        <f t="shared" si="6"/>
        <v>0</v>
      </c>
    </row>
    <row r="16" spans="1:26" x14ac:dyDescent="0.25">
      <c r="A16" s="1">
        <v>14000</v>
      </c>
      <c r="B16" s="2">
        <v>811</v>
      </c>
      <c r="C16" s="2">
        <f>Table1[[#This Row],[Elev_CEM1]]-B36</f>
        <v>364</v>
      </c>
      <c r="D16">
        <f>Table1[[#This Row],[distance]]/$A$179</f>
        <v>7.909604519774012E-2</v>
      </c>
      <c r="E16">
        <f t="shared" si="0"/>
        <v>1.6894915254237288</v>
      </c>
      <c r="I16" s="2">
        <f t="shared" si="1"/>
        <v>58</v>
      </c>
      <c r="K16">
        <f t="shared" si="2"/>
        <v>0</v>
      </c>
      <c r="L16" s="2">
        <f t="shared" si="3"/>
        <v>245</v>
      </c>
      <c r="M16">
        <f t="shared" si="4"/>
        <v>0</v>
      </c>
      <c r="O16" s="2">
        <f t="shared" si="5"/>
        <v>388</v>
      </c>
      <c r="P16">
        <f t="shared" si="6"/>
        <v>0</v>
      </c>
      <c r="V16" s="2">
        <f t="shared" ref="V16:V47" si="7">B2-B16</f>
        <v>795</v>
      </c>
      <c r="W16">
        <f t="shared" ref="W16:W47" si="8">(1000*9.81*F16*V16*0.85)/1000000</f>
        <v>0</v>
      </c>
      <c r="Y16">
        <f t="shared" ref="Y16:Y47" si="9">(W16*8640*0.401)/1000</f>
        <v>0</v>
      </c>
    </row>
    <row r="17" spans="1:25" x14ac:dyDescent="0.25">
      <c r="A17" s="1">
        <v>15000</v>
      </c>
      <c r="B17" s="2">
        <v>767</v>
      </c>
      <c r="C17" s="2">
        <f>Table1[[#This Row],[Elev_CEM1]]-B37</f>
        <v>315</v>
      </c>
      <c r="D17">
        <f>Table1[[#This Row],[distance]]/$A$179</f>
        <v>8.4745762711864403E-2</v>
      </c>
      <c r="E17">
        <f t="shared" si="0"/>
        <v>1.8101694915254236</v>
      </c>
      <c r="I17" s="2">
        <f t="shared" si="1"/>
        <v>76</v>
      </c>
      <c r="K17">
        <f t="shared" si="2"/>
        <v>0</v>
      </c>
      <c r="L17" s="2">
        <f t="shared" si="3"/>
        <v>230</v>
      </c>
      <c r="M17">
        <f t="shared" si="4"/>
        <v>0</v>
      </c>
      <c r="O17" s="2">
        <f t="shared" si="5"/>
        <v>366</v>
      </c>
      <c r="P17">
        <f t="shared" si="6"/>
        <v>0</v>
      </c>
      <c r="V17" s="2">
        <f t="shared" si="7"/>
        <v>733</v>
      </c>
      <c r="W17">
        <f t="shared" si="8"/>
        <v>0</v>
      </c>
      <c r="Y17">
        <f t="shared" si="9"/>
        <v>0</v>
      </c>
    </row>
    <row r="18" spans="1:25" x14ac:dyDescent="0.25">
      <c r="A18" s="1">
        <v>16000</v>
      </c>
      <c r="B18" s="2">
        <v>747</v>
      </c>
      <c r="C18" s="2">
        <f>Table1[[#This Row],[Elev_CEM1]]-B38</f>
        <v>313</v>
      </c>
      <c r="D18">
        <f>Table1[[#This Row],[distance]]/$A$179</f>
        <v>9.03954802259887E-2</v>
      </c>
      <c r="E18">
        <f t="shared" si="0"/>
        <v>1.9308474576271186</v>
      </c>
      <c r="I18" s="2">
        <f t="shared" si="1"/>
        <v>88</v>
      </c>
      <c r="K18">
        <f t="shared" si="2"/>
        <v>0</v>
      </c>
      <c r="L18" s="2">
        <f t="shared" si="3"/>
        <v>209</v>
      </c>
      <c r="M18">
        <f t="shared" si="4"/>
        <v>0</v>
      </c>
      <c r="O18" s="2">
        <f t="shared" si="5"/>
        <v>309</v>
      </c>
      <c r="P18">
        <f t="shared" si="6"/>
        <v>0</v>
      </c>
      <c r="V18" s="2">
        <f t="shared" si="7"/>
        <v>693</v>
      </c>
      <c r="W18">
        <f t="shared" si="8"/>
        <v>0</v>
      </c>
      <c r="Y18">
        <f t="shared" si="9"/>
        <v>0</v>
      </c>
    </row>
    <row r="19" spans="1:25" x14ac:dyDescent="0.25">
      <c r="A19" s="1">
        <v>17000</v>
      </c>
      <c r="B19" s="2">
        <v>731</v>
      </c>
      <c r="C19" s="2">
        <f>Table1[[#This Row],[Elev_CEM1]]-B39</f>
        <v>311</v>
      </c>
      <c r="D19">
        <f>Table1[[#This Row],[distance]]/$A$179</f>
        <v>9.6045197740112997E-2</v>
      </c>
      <c r="E19">
        <f t="shared" si="0"/>
        <v>2.0515254237288136</v>
      </c>
      <c r="I19" s="2">
        <f t="shared" si="1"/>
        <v>80</v>
      </c>
      <c r="K19">
        <f t="shared" si="2"/>
        <v>0</v>
      </c>
      <c r="L19" s="2">
        <f t="shared" si="3"/>
        <v>176</v>
      </c>
      <c r="M19">
        <f t="shared" si="4"/>
        <v>0</v>
      </c>
      <c r="O19" s="2">
        <f t="shared" si="5"/>
        <v>266</v>
      </c>
      <c r="P19">
        <f t="shared" si="6"/>
        <v>0</v>
      </c>
      <c r="V19" s="5">
        <f t="shared" si="7"/>
        <v>605</v>
      </c>
      <c r="W19" s="3">
        <f t="shared" si="8"/>
        <v>0</v>
      </c>
      <c r="X19" s="3"/>
      <c r="Y19" s="3">
        <f t="shared" si="9"/>
        <v>0</v>
      </c>
    </row>
    <row r="20" spans="1:25" x14ac:dyDescent="0.25">
      <c r="A20" s="1">
        <v>18000</v>
      </c>
      <c r="B20" s="2">
        <v>712</v>
      </c>
      <c r="C20" s="2">
        <f>Table1[[#This Row],[Elev_CEM1]]-B40</f>
        <v>300</v>
      </c>
      <c r="D20">
        <f>Table1[[#This Row],[distance]]/$A$179</f>
        <v>0.10169491525423729</v>
      </c>
      <c r="E20">
        <f t="shared" si="0"/>
        <v>2.1722033898305084</v>
      </c>
      <c r="I20" s="2">
        <f t="shared" si="1"/>
        <v>55</v>
      </c>
      <c r="K20">
        <f t="shared" si="2"/>
        <v>0</v>
      </c>
      <c r="L20" s="2">
        <f t="shared" si="3"/>
        <v>157</v>
      </c>
      <c r="M20">
        <f t="shared" si="4"/>
        <v>0</v>
      </c>
      <c r="O20" s="2">
        <f t="shared" si="5"/>
        <v>244</v>
      </c>
      <c r="P20">
        <f t="shared" si="6"/>
        <v>0</v>
      </c>
      <c r="V20" s="5">
        <f t="shared" si="7"/>
        <v>545</v>
      </c>
      <c r="W20" s="3">
        <f t="shared" si="8"/>
        <v>0</v>
      </c>
      <c r="X20" s="3"/>
      <c r="Y20" s="3">
        <f t="shared" si="9"/>
        <v>0</v>
      </c>
    </row>
    <row r="21" spans="1:25" x14ac:dyDescent="0.25">
      <c r="A21" s="1">
        <v>19000</v>
      </c>
      <c r="B21" s="2">
        <v>694</v>
      </c>
      <c r="C21" s="2">
        <f>Table1[[#This Row],[Elev_CEM1]]-B41</f>
        <v>301</v>
      </c>
      <c r="D21">
        <f>Table1[[#This Row],[distance]]/$A$179</f>
        <v>0.10734463276836158</v>
      </c>
      <c r="E21">
        <f t="shared" si="0"/>
        <v>2.2928813559322032</v>
      </c>
      <c r="I21" s="2">
        <f t="shared" si="1"/>
        <v>53</v>
      </c>
      <c r="K21">
        <f t="shared" si="2"/>
        <v>0</v>
      </c>
      <c r="L21" s="2">
        <f t="shared" si="3"/>
        <v>149</v>
      </c>
      <c r="M21">
        <f t="shared" si="4"/>
        <v>0</v>
      </c>
      <c r="O21" s="2">
        <f t="shared" si="5"/>
        <v>213</v>
      </c>
      <c r="P21">
        <f t="shared" si="6"/>
        <v>0</v>
      </c>
      <c r="R21" s="2">
        <f t="shared" ref="R21:R52" si="10">B2-B21</f>
        <v>912</v>
      </c>
      <c r="S21">
        <f t="shared" ref="S21:S52" si="11">(1000*9.81*F21*R21*0.85)/1000000</f>
        <v>0</v>
      </c>
      <c r="T21">
        <f t="shared" ref="T21:T52" si="12">(S21*8640*0.401)/1000</f>
        <v>0</v>
      </c>
      <c r="V21" s="5">
        <f t="shared" si="7"/>
        <v>505</v>
      </c>
      <c r="W21" s="3">
        <f t="shared" si="8"/>
        <v>0</v>
      </c>
      <c r="X21" s="3"/>
      <c r="Y21" s="3">
        <f t="shared" si="9"/>
        <v>0</v>
      </c>
    </row>
    <row r="22" spans="1:25" x14ac:dyDescent="0.25">
      <c r="A22" s="1">
        <v>20000</v>
      </c>
      <c r="B22" s="2">
        <v>656</v>
      </c>
      <c r="C22" s="2">
        <f>Table1[[#This Row],[Elev_CEM1]]-B42</f>
        <v>282</v>
      </c>
      <c r="D22">
        <f>Table1[[#This Row],[distance]]/$A$179</f>
        <v>0.11299435028248588</v>
      </c>
      <c r="E22">
        <f t="shared" si="0"/>
        <v>2.4135593220338984</v>
      </c>
      <c r="F22" s="8">
        <f t="shared" ref="F22:F53" si="13">(1000*E22*C2*0.85*9.81)/1000</f>
        <v>19119.191186440679</v>
      </c>
      <c r="G22">
        <f t="shared" ref="G22:G53" si="14">F22/1000</f>
        <v>19.11919118644068</v>
      </c>
      <c r="I22" s="2">
        <f t="shared" si="1"/>
        <v>75</v>
      </c>
      <c r="K22">
        <f t="shared" si="2"/>
        <v>11956.903178110168</v>
      </c>
      <c r="L22" s="2">
        <f t="shared" si="3"/>
        <v>179</v>
      </c>
      <c r="M22">
        <f t="shared" si="4"/>
        <v>28537.142251756275</v>
      </c>
      <c r="O22" s="2">
        <f t="shared" si="5"/>
        <v>213</v>
      </c>
      <c r="P22">
        <f t="shared" si="6"/>
        <v>33957.605025832883</v>
      </c>
      <c r="R22" s="2">
        <f t="shared" si="10"/>
        <v>844</v>
      </c>
      <c r="S22">
        <f t="shared" si="11"/>
        <v>134555.01709766645</v>
      </c>
      <c r="T22">
        <f t="shared" si="12"/>
        <v>466184.69443725905</v>
      </c>
      <c r="V22" s="2">
        <f t="shared" si="7"/>
        <v>477</v>
      </c>
      <c r="W22">
        <f t="shared" si="8"/>
        <v>76045.90421278069</v>
      </c>
      <c r="Y22">
        <f t="shared" si="9"/>
        <v>263471.68157176848</v>
      </c>
    </row>
    <row r="23" spans="1:25" x14ac:dyDescent="0.25">
      <c r="A23" s="1">
        <v>21000</v>
      </c>
      <c r="B23" s="2">
        <v>629</v>
      </c>
      <c r="C23" s="2">
        <f>Table1[[#This Row],[Elev_CEM1]]-B43</f>
        <v>262</v>
      </c>
      <c r="D23">
        <f>Table1[[#This Row],[distance]]/$A$179</f>
        <v>0.11864406779661017</v>
      </c>
      <c r="E23">
        <f t="shared" si="0"/>
        <v>2.5342372881355932</v>
      </c>
      <c r="F23" s="8">
        <f t="shared" si="13"/>
        <v>18405.743473220336</v>
      </c>
      <c r="G23">
        <f t="shared" si="14"/>
        <v>18.405743473220337</v>
      </c>
      <c r="I23" s="2">
        <f t="shared" si="1"/>
        <v>83</v>
      </c>
      <c r="K23">
        <f t="shared" si="2"/>
        <v>12738.532231970165</v>
      </c>
      <c r="L23" s="2">
        <f t="shared" si="3"/>
        <v>182</v>
      </c>
      <c r="M23">
        <f t="shared" si="4"/>
        <v>27932.685135163494</v>
      </c>
      <c r="O23" s="2">
        <f t="shared" si="5"/>
        <v>214</v>
      </c>
      <c r="P23">
        <f t="shared" si="6"/>
        <v>32843.926477609821</v>
      </c>
      <c r="R23" s="2">
        <f t="shared" si="10"/>
        <v>811</v>
      </c>
      <c r="S23">
        <f t="shared" si="11"/>
        <v>124469.27277262414</v>
      </c>
      <c r="T23">
        <f t="shared" si="12"/>
        <v>431241.22121894453</v>
      </c>
      <c r="V23" s="2">
        <f t="shared" si="7"/>
        <v>427</v>
      </c>
      <c r="W23">
        <f t="shared" si="8"/>
        <v>65534.376663268195</v>
      </c>
      <c r="Y23">
        <f t="shared" si="9"/>
        <v>227053.02276262551</v>
      </c>
    </row>
    <row r="24" spans="1:25" x14ac:dyDescent="0.25">
      <c r="A24" s="1">
        <v>22000</v>
      </c>
      <c r="B24" s="2">
        <v>607</v>
      </c>
      <c r="C24" s="2">
        <f>Table1[[#This Row],[Elev_CEM1]]-B44</f>
        <v>254</v>
      </c>
      <c r="D24">
        <f>Table1[[#This Row],[distance]]/$A$179</f>
        <v>0.12429378531073447</v>
      </c>
      <c r="E24">
        <f t="shared" si="0"/>
        <v>2.654915254237288</v>
      </c>
      <c r="F24" s="8">
        <f t="shared" si="13"/>
        <v>18440.963035932204</v>
      </c>
      <c r="G24">
        <f t="shared" si="14"/>
        <v>18.440963035932203</v>
      </c>
      <c r="I24" s="2">
        <f t="shared" si="1"/>
        <v>87</v>
      </c>
      <c r="K24">
        <f t="shared" si="2"/>
        <v>13377.9874139355</v>
      </c>
      <c r="L24" s="2">
        <f t="shared" si="3"/>
        <v>160</v>
      </c>
      <c r="M24">
        <f t="shared" si="4"/>
        <v>24603.195244019309</v>
      </c>
      <c r="O24" s="2">
        <f t="shared" si="5"/>
        <v>228</v>
      </c>
      <c r="P24">
        <f t="shared" si="6"/>
        <v>35059.553222727518</v>
      </c>
      <c r="R24" s="2">
        <f t="shared" si="10"/>
        <v>729</v>
      </c>
      <c r="S24">
        <f t="shared" si="11"/>
        <v>112098.30833056298</v>
      </c>
      <c r="T24">
        <f t="shared" si="12"/>
        <v>388380.28297440178</v>
      </c>
      <c r="V24" s="2">
        <f t="shared" si="7"/>
        <v>390</v>
      </c>
      <c r="W24">
        <f t="shared" si="8"/>
        <v>59970.288407297063</v>
      </c>
      <c r="Y24">
        <f t="shared" si="9"/>
        <v>207775.46002745768</v>
      </c>
    </row>
    <row r="25" spans="1:25" x14ac:dyDescent="0.25">
      <c r="A25" s="1">
        <v>23000</v>
      </c>
      <c r="B25" s="2">
        <v>588</v>
      </c>
      <c r="C25" s="2">
        <f>Table1[[#This Row],[Elev_CEM1]]-B45</f>
        <v>244</v>
      </c>
      <c r="D25">
        <f>Table1[[#This Row],[distance]]/$A$179</f>
        <v>0.12994350282485875</v>
      </c>
      <c r="E25">
        <f t="shared" si="0"/>
        <v>2.7755932203389828</v>
      </c>
      <c r="F25" s="8">
        <f t="shared" si="13"/>
        <v>17311.924482711864</v>
      </c>
      <c r="G25">
        <f t="shared" si="14"/>
        <v>17.311924482711863</v>
      </c>
      <c r="I25" s="2">
        <f t="shared" si="1"/>
        <v>68</v>
      </c>
      <c r="K25">
        <f t="shared" si="2"/>
        <v>9816.1727963383146</v>
      </c>
      <c r="L25" s="2">
        <f t="shared" si="3"/>
        <v>159</v>
      </c>
      <c r="M25">
        <f t="shared" si="4"/>
        <v>22952.521685555766</v>
      </c>
      <c r="O25" s="2">
        <f t="shared" si="5"/>
        <v>223</v>
      </c>
      <c r="P25">
        <f t="shared" si="6"/>
        <v>32191.272552697708</v>
      </c>
      <c r="R25" s="2">
        <f t="shared" si="10"/>
        <v>669</v>
      </c>
      <c r="S25">
        <f t="shared" si="11"/>
        <v>96573.817658093118</v>
      </c>
      <c r="T25">
        <f t="shared" si="12"/>
        <v>334593.51161093573</v>
      </c>
      <c r="V25" s="2">
        <f t="shared" si="7"/>
        <v>368</v>
      </c>
      <c r="W25">
        <f t="shared" si="8"/>
        <v>53122.817486066175</v>
      </c>
      <c r="Y25">
        <f t="shared" si="9"/>
        <v>184051.43837492433</v>
      </c>
    </row>
    <row r="26" spans="1:25" x14ac:dyDescent="0.25">
      <c r="A26" s="1">
        <v>24000</v>
      </c>
      <c r="B26" s="2">
        <v>585</v>
      </c>
      <c r="C26" s="2">
        <f>Table1[[#This Row],[Elev_CEM1]]-B46</f>
        <v>258</v>
      </c>
      <c r="D26">
        <f>Table1[[#This Row],[distance]]/$A$179</f>
        <v>0.13559322033898305</v>
      </c>
      <c r="E26">
        <f t="shared" si="0"/>
        <v>2.896271186440678</v>
      </c>
      <c r="F26" s="8">
        <f t="shared" si="13"/>
        <v>16229.174497627118</v>
      </c>
      <c r="G26">
        <f t="shared" si="14"/>
        <v>16.229174497627117</v>
      </c>
      <c r="I26" s="2">
        <f t="shared" si="1"/>
        <v>44</v>
      </c>
      <c r="K26">
        <f t="shared" si="2"/>
        <v>5954.3867481324032</v>
      </c>
      <c r="L26" s="2">
        <f t="shared" si="3"/>
        <v>146</v>
      </c>
      <c r="M26">
        <f t="shared" si="4"/>
        <v>19757.737846075703</v>
      </c>
      <c r="O26" s="2">
        <f t="shared" si="5"/>
        <v>182</v>
      </c>
      <c r="P26">
        <f t="shared" si="6"/>
        <v>24629.508821820396</v>
      </c>
      <c r="R26" s="2">
        <f t="shared" si="10"/>
        <v>614</v>
      </c>
      <c r="S26">
        <f t="shared" si="11"/>
        <v>83090.760530756728</v>
      </c>
      <c r="T26">
        <f t="shared" si="12"/>
        <v>287879.57256528101</v>
      </c>
      <c r="V26" s="2">
        <f t="shared" si="7"/>
        <v>322</v>
      </c>
      <c r="W26">
        <f t="shared" si="8"/>
        <v>43575.284838605323</v>
      </c>
      <c r="Y26">
        <f t="shared" si="9"/>
        <v>150972.67486322555</v>
      </c>
    </row>
    <row r="27" spans="1:25" x14ac:dyDescent="0.25">
      <c r="A27" s="1">
        <v>25000</v>
      </c>
      <c r="B27" s="2">
        <v>580</v>
      </c>
      <c r="C27" s="2">
        <f>Table1[[#This Row],[Elev_CEM1]]-B47</f>
        <v>261</v>
      </c>
      <c r="D27">
        <f>Table1[[#This Row],[distance]]/$A$179</f>
        <v>0.14124293785310735</v>
      </c>
      <c r="E27">
        <f t="shared" si="0"/>
        <v>3.0169491525423728</v>
      </c>
      <c r="F27" s="8">
        <f t="shared" si="13"/>
        <v>15572.078084745763</v>
      </c>
      <c r="G27">
        <f t="shared" si="14"/>
        <v>15.572078084745762</v>
      </c>
      <c r="I27" s="2">
        <f t="shared" si="1"/>
        <v>27</v>
      </c>
      <c r="K27">
        <f t="shared" si="2"/>
        <v>3505.8898739606184</v>
      </c>
      <c r="L27" s="2">
        <f t="shared" si="3"/>
        <v>132</v>
      </c>
      <c r="M27">
        <f t="shared" si="4"/>
        <v>17139.906050474136</v>
      </c>
      <c r="O27" s="2">
        <f t="shared" si="5"/>
        <v>167</v>
      </c>
      <c r="P27">
        <f t="shared" si="6"/>
        <v>21684.578109311977</v>
      </c>
      <c r="R27" s="2">
        <f t="shared" si="10"/>
        <v>553</v>
      </c>
      <c r="S27">
        <f t="shared" si="11"/>
        <v>71805.818529637851</v>
      </c>
      <c r="T27">
        <f t="shared" si="12"/>
        <v>248781.31111052449</v>
      </c>
      <c r="V27" s="2">
        <f t="shared" si="7"/>
        <v>289</v>
      </c>
      <c r="W27">
        <f t="shared" si="8"/>
        <v>37526.006428689594</v>
      </c>
      <c r="Y27">
        <f t="shared" si="9"/>
        <v>130014.10291309512</v>
      </c>
    </row>
    <row r="28" spans="1:25" x14ac:dyDescent="0.25">
      <c r="A28" s="1">
        <v>26000</v>
      </c>
      <c r="B28" s="2">
        <v>559</v>
      </c>
      <c r="C28" s="2">
        <f>Table1[[#This Row],[Elev_CEM1]]-B48</f>
        <v>241</v>
      </c>
      <c r="D28">
        <f>Table1[[#This Row],[distance]]/$A$179</f>
        <v>0.14689265536723164</v>
      </c>
      <c r="E28">
        <f t="shared" si="0"/>
        <v>3.1376271186440681</v>
      </c>
      <c r="F28" s="8">
        <f t="shared" si="13"/>
        <v>15017.621540338983</v>
      </c>
      <c r="G28">
        <f t="shared" si="14"/>
        <v>15.017621540338983</v>
      </c>
      <c r="I28" s="2">
        <f t="shared" si="1"/>
        <v>29</v>
      </c>
      <c r="K28">
        <f t="shared" si="2"/>
        <v>3631.5086792093816</v>
      </c>
      <c r="L28" s="2">
        <f t="shared" si="3"/>
        <v>135</v>
      </c>
      <c r="M28">
        <f t="shared" si="4"/>
        <v>16905.299023905744</v>
      </c>
      <c r="O28" s="2">
        <f t="shared" si="5"/>
        <v>172</v>
      </c>
      <c r="P28">
        <f t="shared" si="6"/>
        <v>21538.603200828056</v>
      </c>
      <c r="R28" s="2">
        <f t="shared" si="10"/>
        <v>497</v>
      </c>
      <c r="S28">
        <f t="shared" si="11"/>
        <v>62236.545295415948</v>
      </c>
      <c r="T28">
        <f t="shared" si="12"/>
        <v>215627.2242923099</v>
      </c>
      <c r="V28" s="2">
        <f t="shared" si="7"/>
        <v>284</v>
      </c>
      <c r="W28">
        <f t="shared" si="8"/>
        <v>35563.740168809112</v>
      </c>
      <c r="Y28">
        <f t="shared" si="9"/>
        <v>123215.55673846281</v>
      </c>
    </row>
    <row r="29" spans="1:25" x14ac:dyDescent="0.25">
      <c r="A29" s="1">
        <v>27000</v>
      </c>
      <c r="B29" s="2">
        <v>548</v>
      </c>
      <c r="C29" s="2">
        <f>Table1[[#This Row],[Elev_CEM1]]-B49</f>
        <v>243</v>
      </c>
      <c r="D29">
        <f>Table1[[#This Row],[distance]]/$A$179</f>
        <v>0.15254237288135594</v>
      </c>
      <c r="E29">
        <f t="shared" si="0"/>
        <v>3.2583050847457629</v>
      </c>
      <c r="F29" s="8">
        <f t="shared" si="13"/>
        <v>13802.043490169492</v>
      </c>
      <c r="G29">
        <f t="shared" si="14"/>
        <v>13.802043490169492</v>
      </c>
      <c r="I29" s="2">
        <f t="shared" si="1"/>
        <v>37</v>
      </c>
      <c r="K29">
        <f t="shared" si="2"/>
        <v>4258.2685667827973</v>
      </c>
      <c r="L29" s="2">
        <f t="shared" si="3"/>
        <v>108</v>
      </c>
      <c r="M29">
        <f t="shared" si="4"/>
        <v>12429.540681420058</v>
      </c>
      <c r="O29" s="2">
        <f t="shared" si="5"/>
        <v>164</v>
      </c>
      <c r="P29">
        <f t="shared" si="6"/>
        <v>18874.487701415641</v>
      </c>
      <c r="R29" s="2">
        <f t="shared" si="10"/>
        <v>449</v>
      </c>
      <c r="S29">
        <f t="shared" si="11"/>
        <v>51674.664499607454</v>
      </c>
      <c r="T29">
        <f t="shared" si="12"/>
        <v>179034.10961191996</v>
      </c>
      <c r="V29" s="2">
        <f t="shared" si="7"/>
        <v>287</v>
      </c>
      <c r="W29">
        <f t="shared" si="8"/>
        <v>33030.353477477365</v>
      </c>
      <c r="Y29">
        <f t="shared" si="9"/>
        <v>114438.28387220718</v>
      </c>
    </row>
    <row r="30" spans="1:25" x14ac:dyDescent="0.25">
      <c r="A30" s="1">
        <v>28000</v>
      </c>
      <c r="B30" s="2">
        <v>529</v>
      </c>
      <c r="C30" s="2">
        <f>Table1[[#This Row],[Elev_CEM1]]-B50</f>
        <v>233</v>
      </c>
      <c r="D30">
        <f>Table1[[#This Row],[distance]]/$A$179</f>
        <v>0.15819209039548024</v>
      </c>
      <c r="E30">
        <f t="shared" si="0"/>
        <v>3.3789830508474576</v>
      </c>
      <c r="F30" s="8">
        <f t="shared" si="13"/>
        <v>13186.204279322033</v>
      </c>
      <c r="G30">
        <f t="shared" si="14"/>
        <v>13.186204279322034</v>
      </c>
      <c r="I30" s="2">
        <f t="shared" si="1"/>
        <v>51</v>
      </c>
      <c r="K30">
        <f t="shared" si="2"/>
        <v>5607.6113835394663</v>
      </c>
      <c r="L30" s="2">
        <f t="shared" si="3"/>
        <v>100</v>
      </c>
      <c r="M30">
        <f t="shared" si="4"/>
        <v>10995.316438312677</v>
      </c>
      <c r="O30" s="2">
        <f t="shared" si="5"/>
        <v>165</v>
      </c>
      <c r="P30">
        <f t="shared" si="6"/>
        <v>18142.272123215917</v>
      </c>
      <c r="R30" s="2">
        <f t="shared" si="10"/>
        <v>427</v>
      </c>
      <c r="S30">
        <f t="shared" si="11"/>
        <v>46950.001191595133</v>
      </c>
      <c r="T30">
        <f t="shared" si="12"/>
        <v>162664.8521284482</v>
      </c>
      <c r="V30" s="2">
        <f t="shared" si="7"/>
        <v>282</v>
      </c>
      <c r="W30">
        <f t="shared" si="8"/>
        <v>31006.792356041751</v>
      </c>
      <c r="Y30">
        <f t="shared" si="9"/>
        <v>107427.37306843649</v>
      </c>
    </row>
    <row r="31" spans="1:25" x14ac:dyDescent="0.25">
      <c r="A31" s="1">
        <v>29000</v>
      </c>
      <c r="B31" s="2">
        <v>511</v>
      </c>
      <c r="C31" s="2">
        <f>Table1[[#This Row],[Elev_CEM1]]-B51</f>
        <v>218</v>
      </c>
      <c r="D31">
        <f>Table1[[#This Row],[distance]]/$A$179</f>
        <v>0.16384180790960451</v>
      </c>
      <c r="E31">
        <f t="shared" si="0"/>
        <v>3.4996610169491524</v>
      </c>
      <c r="F31" s="8">
        <f t="shared" si="13"/>
        <v>12985.955908474576</v>
      </c>
      <c r="G31">
        <f t="shared" si="14"/>
        <v>12.985955908474576</v>
      </c>
      <c r="I31" s="2">
        <f t="shared" si="1"/>
        <v>48</v>
      </c>
      <c r="K31">
        <f t="shared" si="2"/>
        <v>5197.6028804551324</v>
      </c>
      <c r="L31" s="2">
        <f t="shared" si="3"/>
        <v>96</v>
      </c>
      <c r="M31">
        <f t="shared" si="4"/>
        <v>10395.205760910265</v>
      </c>
      <c r="O31" s="2">
        <f t="shared" si="5"/>
        <v>145</v>
      </c>
      <c r="P31">
        <f t="shared" si="6"/>
        <v>15701.092034708212</v>
      </c>
      <c r="R31" s="2">
        <f t="shared" si="10"/>
        <v>396</v>
      </c>
      <c r="S31">
        <f t="shared" si="11"/>
        <v>42880.223763754846</v>
      </c>
      <c r="T31">
        <f t="shared" si="12"/>
        <v>148564.53846085561</v>
      </c>
      <c r="V31" s="2">
        <f t="shared" si="7"/>
        <v>256</v>
      </c>
      <c r="W31">
        <f t="shared" si="8"/>
        <v>27720.548695760703</v>
      </c>
      <c r="Y31">
        <f t="shared" si="9"/>
        <v>96041.721833280375</v>
      </c>
    </row>
    <row r="32" spans="1:25" x14ac:dyDescent="0.25">
      <c r="A32" s="1">
        <v>30000</v>
      </c>
      <c r="B32" s="2">
        <v>486</v>
      </c>
      <c r="C32" s="2">
        <f>Table1[[#This Row],[Elev_CEM1]]-B52</f>
        <v>204</v>
      </c>
      <c r="D32">
        <f>Table1[[#This Row],[distance]]/$A$179</f>
        <v>0.16949152542372881</v>
      </c>
      <c r="E32">
        <f t="shared" si="0"/>
        <v>3.6203389830508472</v>
      </c>
      <c r="F32" s="8">
        <f t="shared" si="13"/>
        <v>12709.230772881356</v>
      </c>
      <c r="G32">
        <f t="shared" si="14"/>
        <v>12.709230772881355</v>
      </c>
      <c r="I32" s="2">
        <f t="shared" si="1"/>
        <v>62</v>
      </c>
      <c r="K32">
        <f t="shared" si="2"/>
        <v>6570.5070895796134</v>
      </c>
      <c r="L32" s="2">
        <f t="shared" si="3"/>
        <v>102</v>
      </c>
      <c r="M32">
        <f t="shared" si="4"/>
        <v>10809.543921566461</v>
      </c>
      <c r="O32" s="2">
        <f t="shared" si="5"/>
        <v>143</v>
      </c>
      <c r="P32">
        <f t="shared" si="6"/>
        <v>15154.556674352978</v>
      </c>
      <c r="R32" s="2">
        <f t="shared" si="10"/>
        <v>383</v>
      </c>
      <c r="S32">
        <f t="shared" si="11"/>
        <v>40588.777666274065</v>
      </c>
      <c r="T32">
        <f t="shared" si="12"/>
        <v>140625.50265367978</v>
      </c>
      <c r="V32" s="2">
        <f t="shared" si="7"/>
        <v>261</v>
      </c>
      <c r="W32">
        <f t="shared" si="8"/>
        <v>27659.715328714181</v>
      </c>
      <c r="Y32">
        <f t="shared" si="9"/>
        <v>95830.956116476314</v>
      </c>
    </row>
    <row r="33" spans="1:25" x14ac:dyDescent="0.25">
      <c r="A33" s="1">
        <v>31000</v>
      </c>
      <c r="B33" s="2">
        <v>473</v>
      </c>
      <c r="C33" s="2">
        <f>Table1[[#This Row],[Elev_CEM1]]-B53</f>
        <v>196</v>
      </c>
      <c r="D33">
        <f>Table1[[#This Row],[distance]]/$A$179</f>
        <v>0.1751412429378531</v>
      </c>
      <c r="E33">
        <f t="shared" si="0"/>
        <v>3.741016949152542</v>
      </c>
      <c r="F33" s="8">
        <f t="shared" si="13"/>
        <v>12353.010052881355</v>
      </c>
      <c r="G33">
        <f t="shared" si="14"/>
        <v>12.353010052881354</v>
      </c>
      <c r="I33" s="2">
        <f t="shared" si="1"/>
        <v>56</v>
      </c>
      <c r="K33">
        <f t="shared" si="2"/>
        <v>5768.3121622532653</v>
      </c>
      <c r="L33" s="2">
        <f t="shared" si="3"/>
        <v>112</v>
      </c>
      <c r="M33">
        <f t="shared" si="4"/>
        <v>11536.624324506531</v>
      </c>
      <c r="O33" s="2">
        <f t="shared" si="5"/>
        <v>134</v>
      </c>
      <c r="P33">
        <f t="shared" si="6"/>
        <v>13802.746959677457</v>
      </c>
      <c r="R33" s="2">
        <f t="shared" si="10"/>
        <v>370</v>
      </c>
      <c r="S33">
        <f t="shared" si="11"/>
        <v>38112.062500601925</v>
      </c>
      <c r="T33">
        <f t="shared" si="12"/>
        <v>132044.57622208545</v>
      </c>
      <c r="V33" s="2">
        <f t="shared" si="7"/>
        <v>258</v>
      </c>
      <c r="W33">
        <f t="shared" si="8"/>
        <v>26575.438176095402</v>
      </c>
      <c r="Y33">
        <f t="shared" si="9"/>
        <v>92074.326122427185</v>
      </c>
    </row>
    <row r="34" spans="1:25" x14ac:dyDescent="0.25">
      <c r="A34" s="1">
        <v>32000</v>
      </c>
      <c r="B34" s="2">
        <v>462</v>
      </c>
      <c r="C34" s="2">
        <f>Table1[[#This Row],[Elev_CEM1]]-B54</f>
        <v>190</v>
      </c>
      <c r="D34">
        <f>Table1[[#This Row],[distance]]/$A$179</f>
        <v>0.1807909604519774</v>
      </c>
      <c r="E34">
        <f t="shared" ref="E34:E65" si="15">21.36*D34</f>
        <v>3.8616949152542372</v>
      </c>
      <c r="F34" s="8">
        <f t="shared" si="13"/>
        <v>12268.483102372882</v>
      </c>
      <c r="G34">
        <f t="shared" si="14"/>
        <v>12.268483102372882</v>
      </c>
      <c r="I34" s="2">
        <f t="shared" si="1"/>
        <v>49</v>
      </c>
      <c r="K34">
        <f t="shared" si="2"/>
        <v>5012.7365711076773</v>
      </c>
      <c r="L34" s="2">
        <f t="shared" si="3"/>
        <v>118</v>
      </c>
      <c r="M34">
        <f t="shared" si="4"/>
        <v>12071.488069198082</v>
      </c>
      <c r="O34" s="2">
        <f t="shared" si="5"/>
        <v>126</v>
      </c>
      <c r="P34">
        <f t="shared" si="6"/>
        <v>12889.894039991172</v>
      </c>
      <c r="R34" s="2">
        <f t="shared" si="10"/>
        <v>373</v>
      </c>
      <c r="S34">
        <f t="shared" si="11"/>
        <v>38158.17838822784</v>
      </c>
      <c r="T34">
        <f t="shared" si="12"/>
        <v>132204.35117098971</v>
      </c>
      <c r="V34" s="2">
        <f t="shared" si="7"/>
        <v>250</v>
      </c>
      <c r="W34">
        <f t="shared" si="8"/>
        <v>25575.186587284072</v>
      </c>
      <c r="Y34">
        <f t="shared" si="9"/>
        <v>88608.81445776789</v>
      </c>
    </row>
    <row r="35" spans="1:25" x14ac:dyDescent="0.25">
      <c r="A35" s="1">
        <v>33000</v>
      </c>
      <c r="B35" s="2">
        <v>451</v>
      </c>
      <c r="C35" s="2">
        <f>Table1[[#This Row],[Elev_CEM1]]-B55</f>
        <v>188</v>
      </c>
      <c r="D35">
        <f>Table1[[#This Row],[distance]]/$A$179</f>
        <v>0.1864406779661017</v>
      </c>
      <c r="E35">
        <f t="shared" si="15"/>
        <v>3.982372881355932</v>
      </c>
      <c r="F35" s="8">
        <f t="shared" si="13"/>
        <v>12751.49424813559</v>
      </c>
      <c r="G35">
        <f t="shared" si="14"/>
        <v>12.75149424813559</v>
      </c>
      <c r="I35" s="2">
        <f t="shared" si="1"/>
        <v>35</v>
      </c>
      <c r="K35">
        <f t="shared" si="2"/>
        <v>3721.4917175827518</v>
      </c>
      <c r="L35" s="2">
        <f t="shared" si="3"/>
        <v>108</v>
      </c>
      <c r="M35">
        <f t="shared" si="4"/>
        <v>11483.460157112489</v>
      </c>
      <c r="O35" s="2">
        <f t="shared" si="5"/>
        <v>134</v>
      </c>
      <c r="P35">
        <f t="shared" si="6"/>
        <v>14247.996861602534</v>
      </c>
      <c r="R35" s="2">
        <f t="shared" si="10"/>
        <v>360</v>
      </c>
      <c r="S35">
        <f t="shared" si="11"/>
        <v>38278.200523708307</v>
      </c>
      <c r="T35">
        <f t="shared" si="12"/>
        <v>132620.18466246076</v>
      </c>
      <c r="V35" s="2">
        <f t="shared" si="7"/>
        <v>243</v>
      </c>
      <c r="W35">
        <f t="shared" si="8"/>
        <v>25837.785353503103</v>
      </c>
      <c r="Y35">
        <f t="shared" si="9"/>
        <v>89518.624647160992</v>
      </c>
    </row>
    <row r="36" spans="1:25" x14ac:dyDescent="0.25">
      <c r="A36" s="1">
        <v>34000</v>
      </c>
      <c r="B36" s="2">
        <v>447</v>
      </c>
      <c r="C36" s="2">
        <f>Table1[[#This Row],[Elev_CEM1]]-B56</f>
        <v>187</v>
      </c>
      <c r="D36">
        <f>Table1[[#This Row],[distance]]/$A$179</f>
        <v>0.19209039548022599</v>
      </c>
      <c r="E36">
        <f t="shared" si="15"/>
        <v>4.1030508474576273</v>
      </c>
      <c r="F36" s="8">
        <f t="shared" si="13"/>
        <v>12453.637374915254</v>
      </c>
      <c r="G36">
        <f t="shared" si="14"/>
        <v>12.453637374915253</v>
      </c>
      <c r="I36" s="2">
        <f t="shared" si="1"/>
        <v>26</v>
      </c>
      <c r="K36">
        <f t="shared" si="2"/>
        <v>2699.9610365190019</v>
      </c>
      <c r="L36" s="2">
        <f t="shared" si="3"/>
        <v>101</v>
      </c>
      <c r="M36">
        <f t="shared" si="4"/>
        <v>10488.310180323817</v>
      </c>
      <c r="O36" s="2">
        <f t="shared" si="5"/>
        <v>133</v>
      </c>
      <c r="P36">
        <f t="shared" si="6"/>
        <v>13811.339148347202</v>
      </c>
      <c r="R36" s="5">
        <f t="shared" si="10"/>
        <v>320</v>
      </c>
      <c r="S36" s="3">
        <f t="shared" si="11"/>
        <v>33230.289680233873</v>
      </c>
      <c r="T36" s="3">
        <f t="shared" si="12"/>
        <v>115130.99083772549</v>
      </c>
      <c r="V36" s="2">
        <f t="shared" si="7"/>
        <v>209</v>
      </c>
      <c r="W36">
        <f t="shared" si="8"/>
        <v>21703.532947402749</v>
      </c>
      <c r="Y36">
        <f t="shared" si="9"/>
        <v>75194.928390889472</v>
      </c>
    </row>
    <row r="37" spans="1:25" x14ac:dyDescent="0.25">
      <c r="A37" s="1">
        <v>35000</v>
      </c>
      <c r="B37" s="2">
        <v>452</v>
      </c>
      <c r="C37" s="2">
        <f>Table1[[#This Row],[Elev_CEM1]]-B57</f>
        <v>201</v>
      </c>
      <c r="D37">
        <f>Table1[[#This Row],[distance]]/$A$179</f>
        <v>0.19774011299435029</v>
      </c>
      <c r="E37">
        <f t="shared" si="15"/>
        <v>4.2237288135593225</v>
      </c>
      <c r="F37" s="8">
        <f t="shared" si="13"/>
        <v>11094.162254237288</v>
      </c>
      <c r="G37">
        <f t="shared" si="14"/>
        <v>11.094162254237288</v>
      </c>
      <c r="I37" s="2">
        <f t="shared" ref="I37:I68" si="16">B34-B37</f>
        <v>10</v>
      </c>
      <c r="K37">
        <f t="shared" ref="K37:K68" si="17">(1000*9.81*I37*F37*0.85)/1000000</f>
        <v>925.0867195695763</v>
      </c>
      <c r="L37" s="2">
        <f t="shared" si="3"/>
        <v>77</v>
      </c>
      <c r="M37">
        <f t="shared" si="4"/>
        <v>7123.167740685738</v>
      </c>
      <c r="O37" s="2">
        <f t="shared" si="5"/>
        <v>107</v>
      </c>
      <c r="P37">
        <f t="shared" si="6"/>
        <v>9898.4278993944663</v>
      </c>
      <c r="R37" s="2">
        <f t="shared" si="10"/>
        <v>295</v>
      </c>
      <c r="S37">
        <f t="shared" si="11"/>
        <v>27290.058227302503</v>
      </c>
      <c r="T37">
        <f t="shared" si="12"/>
        <v>94550.227336641357</v>
      </c>
      <c r="V37" s="2">
        <f t="shared" si="7"/>
        <v>177</v>
      </c>
      <c r="W37">
        <f t="shared" si="8"/>
        <v>16374.034936381498</v>
      </c>
      <c r="Y37">
        <f t="shared" si="9"/>
        <v>56730.136401984797</v>
      </c>
    </row>
    <row r="38" spans="1:25" x14ac:dyDescent="0.25">
      <c r="A38" s="1">
        <v>36000</v>
      </c>
      <c r="B38" s="2">
        <v>434</v>
      </c>
      <c r="C38" s="2">
        <f>Table1[[#This Row],[Elev_CEM1]]-B58</f>
        <v>182</v>
      </c>
      <c r="D38">
        <f>Table1[[#This Row],[distance]]/$A$179</f>
        <v>0.20338983050847459</v>
      </c>
      <c r="E38">
        <f t="shared" si="15"/>
        <v>4.3444067796610168</v>
      </c>
      <c r="F38" s="8">
        <f t="shared" si="13"/>
        <v>11338.686646779663</v>
      </c>
      <c r="G38">
        <f t="shared" si="14"/>
        <v>11.338686646779662</v>
      </c>
      <c r="I38" s="2">
        <f t="shared" si="16"/>
        <v>17</v>
      </c>
      <c r="K38">
        <f t="shared" si="17"/>
        <v>1607.3098562709276</v>
      </c>
      <c r="L38" s="2">
        <f t="shared" si="3"/>
        <v>77</v>
      </c>
      <c r="M38">
        <f t="shared" si="4"/>
        <v>7280.1681725212602</v>
      </c>
      <c r="O38" s="2">
        <f t="shared" si="5"/>
        <v>114</v>
      </c>
      <c r="P38">
        <f t="shared" si="6"/>
        <v>10778.430800875632</v>
      </c>
      <c r="R38" s="2">
        <f t="shared" si="10"/>
        <v>297</v>
      </c>
      <c r="S38">
        <f t="shared" si="11"/>
        <v>28080.648665439148</v>
      </c>
      <c r="T38">
        <f t="shared" si="12"/>
        <v>97289.338592227097</v>
      </c>
      <c r="V38" s="2">
        <f t="shared" si="7"/>
        <v>173</v>
      </c>
      <c r="W38">
        <f t="shared" si="8"/>
        <v>16356.741478521792</v>
      </c>
      <c r="Y38">
        <f t="shared" si="9"/>
        <v>56670.220796145739</v>
      </c>
    </row>
    <row r="39" spans="1:25" x14ac:dyDescent="0.25">
      <c r="A39" s="1">
        <v>37000</v>
      </c>
      <c r="B39" s="2">
        <v>420</v>
      </c>
      <c r="C39" s="2">
        <f>Table1[[#This Row],[Elev_CEM1]]-B59</f>
        <v>167</v>
      </c>
      <c r="D39">
        <f>Table1[[#This Row],[distance]]/$A$179</f>
        <v>0.20903954802259886</v>
      </c>
      <c r="E39">
        <f t="shared" si="15"/>
        <v>4.4650847457627112</v>
      </c>
      <c r="F39" s="8">
        <f t="shared" si="13"/>
        <v>11579.185946440681</v>
      </c>
      <c r="G39">
        <f t="shared" si="14"/>
        <v>11.579185946440681</v>
      </c>
      <c r="I39" s="2">
        <f t="shared" si="16"/>
        <v>27</v>
      </c>
      <c r="K39">
        <f t="shared" si="17"/>
        <v>2606.9321343886818</v>
      </c>
      <c r="L39" s="2">
        <f t="shared" si="3"/>
        <v>66</v>
      </c>
      <c r="M39">
        <f t="shared" si="4"/>
        <v>6372.5007729501103</v>
      </c>
      <c r="O39" s="2">
        <f t="shared" si="5"/>
        <v>109</v>
      </c>
      <c r="P39">
        <f t="shared" si="6"/>
        <v>10524.281579569122</v>
      </c>
      <c r="R39" s="5">
        <f t="shared" si="10"/>
        <v>292</v>
      </c>
      <c r="S39" s="3">
        <f t="shared" si="11"/>
        <v>28193.488268203517</v>
      </c>
      <c r="T39" s="3">
        <f t="shared" si="12"/>
        <v>97680.287193548633</v>
      </c>
      <c r="V39" s="2">
        <f t="shared" si="7"/>
        <v>168</v>
      </c>
      <c r="W39">
        <f t="shared" si="8"/>
        <v>16220.91105841846</v>
      </c>
      <c r="Y39">
        <f t="shared" si="9"/>
        <v>56199.617289438931</v>
      </c>
    </row>
    <row r="40" spans="1:25" x14ac:dyDescent="0.25">
      <c r="A40" s="1">
        <v>38000</v>
      </c>
      <c r="B40" s="2">
        <v>412</v>
      </c>
      <c r="C40" s="2">
        <f>Table1[[#This Row],[Elev_CEM1]]-B60</f>
        <v>170</v>
      </c>
      <c r="D40">
        <f>Table1[[#This Row],[distance]]/$A$179</f>
        <v>0.21468926553672316</v>
      </c>
      <c r="E40">
        <f t="shared" si="15"/>
        <v>4.5857627118644064</v>
      </c>
      <c r="F40" s="8">
        <f t="shared" si="13"/>
        <v>11471.514711864407</v>
      </c>
      <c r="G40">
        <f t="shared" si="14"/>
        <v>11.471514711864407</v>
      </c>
      <c r="I40" s="2">
        <f t="shared" si="16"/>
        <v>40</v>
      </c>
      <c r="K40">
        <f t="shared" si="17"/>
        <v>3826.2090169952544</v>
      </c>
      <c r="L40" s="2">
        <f t="shared" si="3"/>
        <v>61</v>
      </c>
      <c r="M40">
        <f t="shared" si="4"/>
        <v>5834.9687509177629</v>
      </c>
      <c r="O40" s="2">
        <f t="shared" si="5"/>
        <v>99</v>
      </c>
      <c r="P40">
        <f t="shared" si="6"/>
        <v>9469.8673170632537</v>
      </c>
      <c r="R40" s="5">
        <f t="shared" si="10"/>
        <v>282</v>
      </c>
      <c r="S40" s="3">
        <f t="shared" si="11"/>
        <v>26974.773569816542</v>
      </c>
      <c r="T40" s="3">
        <f t="shared" si="12"/>
        <v>93457.879500929193</v>
      </c>
      <c r="V40" s="2">
        <f t="shared" si="7"/>
        <v>173</v>
      </c>
      <c r="W40">
        <f t="shared" si="8"/>
        <v>16548.353998504474</v>
      </c>
      <c r="Y40">
        <f t="shared" si="9"/>
        <v>57334.08919737854</v>
      </c>
    </row>
    <row r="41" spans="1:25" x14ac:dyDescent="0.25">
      <c r="A41" s="1">
        <v>39000</v>
      </c>
      <c r="B41" s="2">
        <v>393</v>
      </c>
      <c r="C41" s="2">
        <f>Table1[[#This Row],[Elev_CEM1]]-B61</f>
        <v>157</v>
      </c>
      <c r="D41">
        <f>Table1[[#This Row],[distance]]/$A$179</f>
        <v>0.22033898305084745</v>
      </c>
      <c r="E41">
        <f t="shared" si="15"/>
        <v>4.7064406779661017</v>
      </c>
      <c r="F41" s="8">
        <f t="shared" si="13"/>
        <v>11812.641333559319</v>
      </c>
      <c r="G41">
        <f t="shared" si="14"/>
        <v>11.812641333559318</v>
      </c>
      <c r="I41" s="2">
        <f t="shared" si="16"/>
        <v>41</v>
      </c>
      <c r="K41">
        <f t="shared" si="17"/>
        <v>4038.4881001552594</v>
      </c>
      <c r="L41" s="2">
        <f t="shared" ref="L41:L72" si="18">B34-B41</f>
        <v>69</v>
      </c>
      <c r="M41">
        <f t="shared" ref="M41:M72" si="19">(1000*9.81*F41*L41*0.85)/1000000</f>
        <v>6796.4799734320222</v>
      </c>
      <c r="O41" s="2">
        <f t="shared" si="5"/>
        <v>93</v>
      </c>
      <c r="P41">
        <f t="shared" si="6"/>
        <v>9160.4730076692485</v>
      </c>
      <c r="R41" s="2">
        <f t="shared" si="10"/>
        <v>263</v>
      </c>
      <c r="S41">
        <f t="shared" si="11"/>
        <v>25905.423666849594</v>
      </c>
      <c r="T41">
        <f t="shared" si="12"/>
        <v>89752.967053113782</v>
      </c>
      <c r="V41" s="2">
        <f t="shared" si="7"/>
        <v>187</v>
      </c>
      <c r="W41">
        <f t="shared" si="8"/>
        <v>18419.44572509838</v>
      </c>
      <c r="Y41">
        <f t="shared" si="9"/>
        <v>63816.748437004855</v>
      </c>
    </row>
    <row r="42" spans="1:25" x14ac:dyDescent="0.25">
      <c r="A42" s="1">
        <v>40000</v>
      </c>
      <c r="B42" s="2">
        <v>374</v>
      </c>
      <c r="C42" s="2">
        <f>Table1[[#This Row],[Elev_CEM1]]-B62</f>
        <v>146</v>
      </c>
      <c r="D42">
        <f>Table1[[#This Row],[distance]]/$A$179</f>
        <v>0.22598870056497175</v>
      </c>
      <c r="E42">
        <f t="shared" si="15"/>
        <v>4.8271186440677969</v>
      </c>
      <c r="F42" s="8">
        <f t="shared" si="13"/>
        <v>11350.761925423729</v>
      </c>
      <c r="G42">
        <f t="shared" si="14"/>
        <v>11.350761925423729</v>
      </c>
      <c r="I42" s="2">
        <f t="shared" si="16"/>
        <v>46</v>
      </c>
      <c r="K42">
        <f t="shared" si="17"/>
        <v>4353.8231024967054</v>
      </c>
      <c r="L42" s="2">
        <f t="shared" si="18"/>
        <v>77</v>
      </c>
      <c r="M42">
        <f t="shared" si="19"/>
        <v>7287.9212802662232</v>
      </c>
      <c r="O42" s="2">
        <f t="shared" si="5"/>
        <v>99</v>
      </c>
      <c r="P42">
        <f t="shared" si="6"/>
        <v>9370.1845031994289</v>
      </c>
      <c r="R42" s="2">
        <f t="shared" si="10"/>
        <v>255</v>
      </c>
      <c r="S42">
        <f t="shared" si="11"/>
        <v>24135.323720362168</v>
      </c>
      <c r="T42">
        <f t="shared" si="12"/>
        <v>83620.207974515593</v>
      </c>
      <c r="V42" s="2">
        <f t="shared" si="7"/>
        <v>185</v>
      </c>
      <c r="W42">
        <f t="shared" si="8"/>
        <v>17509.940738301968</v>
      </c>
      <c r="Y42">
        <f t="shared" si="9"/>
        <v>60665.641079550536</v>
      </c>
    </row>
    <row r="43" spans="1:25" x14ac:dyDescent="0.25">
      <c r="A43" s="1">
        <v>41000</v>
      </c>
      <c r="B43" s="2">
        <v>367</v>
      </c>
      <c r="C43" s="2">
        <f>Table1[[#This Row],[Elev_CEM1]]-B63</f>
        <v>140</v>
      </c>
      <c r="D43">
        <f>Table1[[#This Row],[distance]]/$A$179</f>
        <v>0.23163841807909605</v>
      </c>
      <c r="E43">
        <f t="shared" si="15"/>
        <v>4.9477966101694912</v>
      </c>
      <c r="F43" s="8">
        <f t="shared" si="13"/>
        <v>10809.386932881356</v>
      </c>
      <c r="G43">
        <f t="shared" si="14"/>
        <v>10.809386932881356</v>
      </c>
      <c r="I43" s="2">
        <f t="shared" si="16"/>
        <v>45</v>
      </c>
      <c r="K43">
        <f t="shared" si="17"/>
        <v>4056.0332822924033</v>
      </c>
      <c r="L43" s="2">
        <f t="shared" si="18"/>
        <v>80</v>
      </c>
      <c r="M43">
        <f t="shared" si="19"/>
        <v>7210.7258351864948</v>
      </c>
      <c r="O43" s="2">
        <f t="shared" ref="O43:O74" si="20">B34-B43</f>
        <v>95</v>
      </c>
      <c r="P43">
        <f t="shared" ref="P43:P74" si="21">(1000*9.81*F43*O43*0.85)/1000000</f>
        <v>8562.736929283963</v>
      </c>
      <c r="R43" s="2">
        <f t="shared" si="10"/>
        <v>240</v>
      </c>
      <c r="S43">
        <f t="shared" si="11"/>
        <v>21632.177505559481</v>
      </c>
      <c r="T43">
        <f t="shared" si="12"/>
        <v>74947.707472861599</v>
      </c>
      <c r="V43" s="2">
        <f t="shared" si="7"/>
        <v>181</v>
      </c>
      <c r="W43">
        <f t="shared" si="8"/>
        <v>16314.267202109444</v>
      </c>
      <c r="Y43">
        <f t="shared" si="9"/>
        <v>56523.062719116468</v>
      </c>
    </row>
    <row r="44" spans="1:25" x14ac:dyDescent="0.25">
      <c r="A44" s="1">
        <v>42000</v>
      </c>
      <c r="B44" s="2">
        <v>353</v>
      </c>
      <c r="C44" s="2">
        <f>Table1[[#This Row],[Elev_CEM1]]-B64</f>
        <v>129</v>
      </c>
      <c r="D44">
        <f>Table1[[#This Row],[distance]]/$A$179</f>
        <v>0.23728813559322035</v>
      </c>
      <c r="E44">
        <f t="shared" si="15"/>
        <v>5.0684745762711865</v>
      </c>
      <c r="F44" s="8">
        <f t="shared" si="13"/>
        <v>10734.922714576272</v>
      </c>
      <c r="G44">
        <f t="shared" si="14"/>
        <v>10.734922714576273</v>
      </c>
      <c r="I44" s="2">
        <f t="shared" si="16"/>
        <v>40</v>
      </c>
      <c r="K44">
        <f t="shared" si="17"/>
        <v>3580.5261222197701</v>
      </c>
      <c r="L44" s="2">
        <f t="shared" si="18"/>
        <v>99</v>
      </c>
      <c r="M44">
        <f t="shared" si="19"/>
        <v>8861.8021524939304</v>
      </c>
      <c r="O44" s="2">
        <f t="shared" si="20"/>
        <v>98</v>
      </c>
      <c r="P44">
        <f t="shared" si="21"/>
        <v>8772.2889994384368</v>
      </c>
      <c r="R44" s="2">
        <f t="shared" si="10"/>
        <v>235</v>
      </c>
      <c r="S44">
        <f t="shared" si="11"/>
        <v>21035.590968041146</v>
      </c>
      <c r="T44">
        <f t="shared" si="12"/>
        <v>72880.749891514075</v>
      </c>
      <c r="V44" s="2">
        <f t="shared" si="7"/>
        <v>176</v>
      </c>
      <c r="W44">
        <f t="shared" si="8"/>
        <v>15754.314937766987</v>
      </c>
      <c r="Y44">
        <f t="shared" si="9"/>
        <v>54583.02970598502</v>
      </c>
    </row>
    <row r="45" spans="1:25" x14ac:dyDescent="0.25">
      <c r="A45" s="1">
        <v>43000</v>
      </c>
      <c r="B45" s="2">
        <v>344</v>
      </c>
      <c r="C45" s="2">
        <f>Table1[[#This Row],[Elev_CEM1]]-B65</f>
        <v>128</v>
      </c>
      <c r="D45">
        <f>Table1[[#This Row],[distance]]/$A$179</f>
        <v>0.24293785310734464</v>
      </c>
      <c r="E45">
        <f t="shared" si="15"/>
        <v>5.1891525423728817</v>
      </c>
      <c r="F45" s="8">
        <f t="shared" si="13"/>
        <v>10557.818627796612</v>
      </c>
      <c r="G45">
        <f t="shared" si="14"/>
        <v>10.557818627796612</v>
      </c>
      <c r="I45" s="2">
        <f t="shared" si="16"/>
        <v>30</v>
      </c>
      <c r="K45">
        <f t="shared" si="17"/>
        <v>2641.0911188364616</v>
      </c>
      <c r="L45" s="2">
        <f t="shared" si="18"/>
        <v>90</v>
      </c>
      <c r="M45">
        <f t="shared" si="19"/>
        <v>7923.2733565093849</v>
      </c>
      <c r="O45" s="2">
        <f t="shared" si="20"/>
        <v>103</v>
      </c>
      <c r="P45">
        <f t="shared" si="21"/>
        <v>9067.7461746718527</v>
      </c>
      <c r="R45" s="2">
        <f t="shared" si="10"/>
        <v>241</v>
      </c>
      <c r="S45">
        <f t="shared" si="11"/>
        <v>21216.765321319577</v>
      </c>
      <c r="T45">
        <f t="shared" si="12"/>
        <v>73508.453802856675</v>
      </c>
      <c r="V45" s="2">
        <f t="shared" si="7"/>
        <v>167</v>
      </c>
      <c r="W45">
        <f t="shared" si="8"/>
        <v>14702.073894856303</v>
      </c>
      <c r="Y45">
        <f t="shared" si="9"/>
        <v>50937.393299074938</v>
      </c>
    </row>
    <row r="46" spans="1:25" x14ac:dyDescent="0.25">
      <c r="A46" s="1">
        <v>44000</v>
      </c>
      <c r="B46" s="2">
        <v>327</v>
      </c>
      <c r="C46" s="2">
        <f>Table1[[#This Row],[Elev_CEM1]]-B66</f>
        <v>116</v>
      </c>
      <c r="D46">
        <f>Table1[[#This Row],[distance]]/$A$179</f>
        <v>0.24858757062146894</v>
      </c>
      <c r="E46">
        <f t="shared" si="15"/>
        <v>5.309830508474576</v>
      </c>
      <c r="F46" s="8">
        <f t="shared" si="13"/>
        <v>11423.213597288135</v>
      </c>
      <c r="G46">
        <f t="shared" si="14"/>
        <v>11.423213597288136</v>
      </c>
      <c r="I46" s="2">
        <f t="shared" si="16"/>
        <v>40</v>
      </c>
      <c r="K46">
        <f t="shared" si="17"/>
        <v>3810.0986632394843</v>
      </c>
      <c r="L46" s="2">
        <f t="shared" si="18"/>
        <v>93</v>
      </c>
      <c r="M46">
        <f t="shared" si="19"/>
        <v>8858.4793920318007</v>
      </c>
      <c r="O46" s="2">
        <f t="shared" si="20"/>
        <v>125</v>
      </c>
      <c r="P46">
        <f t="shared" si="21"/>
        <v>11906.558322623388</v>
      </c>
      <c r="R46" s="2">
        <f t="shared" si="10"/>
        <v>253</v>
      </c>
      <c r="S46">
        <f t="shared" si="11"/>
        <v>24098.874044989738</v>
      </c>
      <c r="T46">
        <f t="shared" si="12"/>
        <v>83493.922971233245</v>
      </c>
      <c r="V46" s="2">
        <f t="shared" si="7"/>
        <v>159</v>
      </c>
      <c r="W46">
        <f t="shared" si="8"/>
        <v>15145.142186376954</v>
      </c>
      <c r="Y46">
        <f t="shared" si="9"/>
        <v>52472.465424609058</v>
      </c>
    </row>
    <row r="47" spans="1:25" x14ac:dyDescent="0.25">
      <c r="A47" s="1">
        <v>45000</v>
      </c>
      <c r="B47" s="2">
        <v>319</v>
      </c>
      <c r="C47" s="2">
        <f>Table1[[#This Row],[Elev_CEM1]]-B67</f>
        <v>112</v>
      </c>
      <c r="D47">
        <f>Table1[[#This Row],[distance]]/$A$179</f>
        <v>0.25423728813559321</v>
      </c>
      <c r="E47">
        <f t="shared" si="15"/>
        <v>5.4305084745762704</v>
      </c>
      <c r="F47" s="8">
        <f t="shared" si="13"/>
        <v>11818.678972881355</v>
      </c>
      <c r="G47">
        <f t="shared" si="14"/>
        <v>11.818678972881354</v>
      </c>
      <c r="I47" s="2">
        <f t="shared" si="16"/>
        <v>34</v>
      </c>
      <c r="K47">
        <f t="shared" si="17"/>
        <v>3350.7018569226198</v>
      </c>
      <c r="L47" s="2">
        <f t="shared" si="18"/>
        <v>93</v>
      </c>
      <c r="M47">
        <f t="shared" si="19"/>
        <v>9165.1550792295184</v>
      </c>
      <c r="O47" s="2">
        <f t="shared" si="20"/>
        <v>115</v>
      </c>
      <c r="P47">
        <f t="shared" si="21"/>
        <v>11333.256280767684</v>
      </c>
      <c r="R47" s="2">
        <f t="shared" si="10"/>
        <v>240</v>
      </c>
      <c r="S47">
        <f t="shared" si="11"/>
        <v>23652.013107689083</v>
      </c>
      <c r="T47">
        <f t="shared" si="12"/>
        <v>81945.710693423913</v>
      </c>
      <c r="V47" s="2">
        <f t="shared" si="7"/>
        <v>154</v>
      </c>
      <c r="W47">
        <f t="shared" si="8"/>
        <v>15176.708410767162</v>
      </c>
      <c r="Y47">
        <f t="shared" si="9"/>
        <v>52581.83102828035</v>
      </c>
    </row>
    <row r="48" spans="1:25" x14ac:dyDescent="0.25">
      <c r="A48" s="1">
        <v>46000</v>
      </c>
      <c r="B48" s="2">
        <v>318</v>
      </c>
      <c r="C48" s="2">
        <f>Table1[[#This Row],[Elev_CEM1]]-B68</f>
        <v>114</v>
      </c>
      <c r="D48">
        <f>Table1[[#This Row],[distance]]/$A$179</f>
        <v>0.25988700564971751</v>
      </c>
      <c r="E48">
        <f t="shared" si="15"/>
        <v>5.5511864406779656</v>
      </c>
      <c r="F48" s="8">
        <f t="shared" si="13"/>
        <v>11155.544920677965</v>
      </c>
      <c r="G48">
        <f t="shared" si="14"/>
        <v>11.155544920677965</v>
      </c>
      <c r="I48" s="2">
        <f t="shared" si="16"/>
        <v>26</v>
      </c>
      <c r="K48">
        <f t="shared" si="17"/>
        <v>2418.5332943479034</v>
      </c>
      <c r="L48" s="2">
        <f t="shared" si="18"/>
        <v>75</v>
      </c>
      <c r="M48">
        <f t="shared" si="19"/>
        <v>6976.5383490804898</v>
      </c>
      <c r="O48" s="2">
        <f t="shared" si="20"/>
        <v>102</v>
      </c>
      <c r="P48">
        <f t="shared" si="21"/>
        <v>9488.0921547494654</v>
      </c>
      <c r="R48" s="2">
        <f t="shared" si="10"/>
        <v>230</v>
      </c>
      <c r="S48">
        <f t="shared" si="11"/>
        <v>21394.717603846835</v>
      </c>
      <c r="T48">
        <f t="shared" si="12"/>
        <v>74124.994398991912</v>
      </c>
      <c r="V48" s="2">
        <f t="shared" ref="V48:V79" si="22">B34-B48</f>
        <v>144</v>
      </c>
      <c r="W48">
        <f t="shared" ref="W48:W79" si="23">(1000*9.81*F48*V48*0.85)/1000000</f>
        <v>13394.95363023454</v>
      </c>
      <c r="Y48">
        <f t="shared" ref="Y48:Y79" si="24">(W48*8640*0.401)/1000</f>
        <v>46408.692145455803</v>
      </c>
    </row>
    <row r="49" spans="1:25" x14ac:dyDescent="0.25">
      <c r="A49" s="1">
        <v>47000</v>
      </c>
      <c r="B49" s="2">
        <v>305</v>
      </c>
      <c r="C49" s="2">
        <f>Table1[[#This Row],[Elev_CEM1]]-B69</f>
        <v>104</v>
      </c>
      <c r="D49">
        <f>Table1[[#This Row],[distance]]/$A$179</f>
        <v>0.2655367231638418</v>
      </c>
      <c r="E49">
        <f t="shared" si="15"/>
        <v>5.6718644067796609</v>
      </c>
      <c r="F49" s="8">
        <f t="shared" si="13"/>
        <v>11492.646449491525</v>
      </c>
      <c r="G49">
        <f t="shared" si="14"/>
        <v>11.492646449491525</v>
      </c>
      <c r="I49" s="2">
        <f t="shared" si="16"/>
        <v>22</v>
      </c>
      <c r="K49">
        <f t="shared" si="17"/>
        <v>2108.2915132198718</v>
      </c>
      <c r="L49" s="2">
        <f t="shared" si="18"/>
        <v>69</v>
      </c>
      <c r="M49">
        <f t="shared" si="19"/>
        <v>6612.3688369168713</v>
      </c>
      <c r="O49" s="2">
        <f t="shared" si="20"/>
        <v>107</v>
      </c>
      <c r="P49">
        <f t="shared" si="21"/>
        <v>10253.963268842104</v>
      </c>
      <c r="R49" s="2">
        <f t="shared" si="10"/>
        <v>224</v>
      </c>
      <c r="S49">
        <f t="shared" si="11"/>
        <v>21466.240861875056</v>
      </c>
      <c r="T49">
        <f t="shared" si="12"/>
        <v>74372.796739686804</v>
      </c>
      <c r="V49" s="2">
        <f t="shared" si="22"/>
        <v>146</v>
      </c>
      <c r="W49">
        <f t="shared" si="23"/>
        <v>13991.389133186422</v>
      </c>
      <c r="Y49">
        <f t="shared" si="24"/>
        <v>48475.126446403003</v>
      </c>
    </row>
    <row r="50" spans="1:25" x14ac:dyDescent="0.25">
      <c r="A50" s="1">
        <v>48000</v>
      </c>
      <c r="B50" s="2">
        <v>296</v>
      </c>
      <c r="C50" s="2">
        <f>Table1[[#This Row],[Elev_CEM1]]-B70</f>
        <v>103</v>
      </c>
      <c r="D50">
        <f>Table1[[#This Row],[distance]]/$A$179</f>
        <v>0.2711864406779661</v>
      </c>
      <c r="E50">
        <f t="shared" si="15"/>
        <v>5.7925423728813561</v>
      </c>
      <c r="F50" s="8">
        <f t="shared" si="13"/>
        <v>11254.159696271186</v>
      </c>
      <c r="G50">
        <f t="shared" si="14"/>
        <v>11.254159696271186</v>
      </c>
      <c r="I50" s="2">
        <f t="shared" si="16"/>
        <v>23</v>
      </c>
      <c r="K50">
        <f t="shared" si="17"/>
        <v>2158.3846444292171</v>
      </c>
      <c r="L50" s="2">
        <f t="shared" si="18"/>
        <v>71</v>
      </c>
      <c r="M50">
        <f t="shared" si="19"/>
        <v>6662.8395545423673</v>
      </c>
      <c r="O50" s="2">
        <f t="shared" si="20"/>
        <v>97</v>
      </c>
      <c r="P50">
        <f t="shared" si="21"/>
        <v>9102.7526308536562</v>
      </c>
      <c r="R50" s="2">
        <f t="shared" si="10"/>
        <v>215</v>
      </c>
      <c r="S50">
        <f t="shared" si="11"/>
        <v>20176.204284881816</v>
      </c>
      <c r="T50">
        <f t="shared" si="12"/>
        <v>69903.284413572954</v>
      </c>
      <c r="V50" s="2">
        <f t="shared" si="22"/>
        <v>151</v>
      </c>
      <c r="W50">
        <f t="shared" si="23"/>
        <v>14170.264404730951</v>
      </c>
      <c r="Y50">
        <f t="shared" si="24"/>
        <v>49094.864867207041</v>
      </c>
    </row>
    <row r="51" spans="1:25" x14ac:dyDescent="0.25">
      <c r="A51" s="1">
        <v>49000</v>
      </c>
      <c r="B51" s="2">
        <v>293</v>
      </c>
      <c r="C51" s="2">
        <f>Table1[[#This Row],[Elev_CEM1]]-B71</f>
        <v>99</v>
      </c>
      <c r="D51">
        <f>Table1[[#This Row],[distance]]/$A$179</f>
        <v>0.2768361581920904</v>
      </c>
      <c r="E51">
        <f t="shared" si="15"/>
        <v>5.9132203389830504</v>
      </c>
      <c r="F51" s="8">
        <f t="shared" si="13"/>
        <v>10749.010539661014</v>
      </c>
      <c r="G51">
        <f t="shared" si="14"/>
        <v>10.749010539661015</v>
      </c>
      <c r="I51" s="2">
        <f t="shared" si="16"/>
        <v>25</v>
      </c>
      <c r="K51">
        <f t="shared" si="17"/>
        <v>2240.7656096240839</v>
      </c>
      <c r="L51" s="2">
        <f t="shared" si="18"/>
        <v>60</v>
      </c>
      <c r="M51">
        <f t="shared" si="19"/>
        <v>5377.8374630978024</v>
      </c>
      <c r="O51" s="2">
        <f t="shared" si="20"/>
        <v>81</v>
      </c>
      <c r="P51">
        <f t="shared" si="21"/>
        <v>7260.0805751820326</v>
      </c>
      <c r="R51" s="2">
        <f t="shared" si="10"/>
        <v>193</v>
      </c>
      <c r="S51">
        <f t="shared" si="11"/>
        <v>17298.710506297932</v>
      </c>
      <c r="T51">
        <f t="shared" si="12"/>
        <v>59933.804368540063</v>
      </c>
      <c r="V51" s="2">
        <f t="shared" si="22"/>
        <v>159</v>
      </c>
      <c r="W51">
        <f t="shared" si="23"/>
        <v>14251.269277209174</v>
      </c>
      <c r="Y51">
        <f t="shared" si="24"/>
        <v>49375.517588589995</v>
      </c>
    </row>
    <row r="52" spans="1:25" x14ac:dyDescent="0.25">
      <c r="A52" s="1">
        <v>50000</v>
      </c>
      <c r="B52" s="2">
        <v>282</v>
      </c>
      <c r="C52" s="2">
        <f>Table1[[#This Row],[Elev_CEM1]]-B72</f>
        <v>91</v>
      </c>
      <c r="D52">
        <f>Table1[[#This Row],[distance]]/$A$179</f>
        <v>0.2824858757062147</v>
      </c>
      <c r="E52">
        <f t="shared" si="15"/>
        <v>6.0338983050847457</v>
      </c>
      <c r="F52" s="8">
        <f t="shared" si="13"/>
        <v>10263.986847457627</v>
      </c>
      <c r="G52">
        <f t="shared" si="14"/>
        <v>10.263986847457627</v>
      </c>
      <c r="I52" s="2">
        <f t="shared" si="16"/>
        <v>23</v>
      </c>
      <c r="K52">
        <f t="shared" si="17"/>
        <v>1968.4838495330846</v>
      </c>
      <c r="L52" s="2">
        <f t="shared" si="18"/>
        <v>62</v>
      </c>
      <c r="M52">
        <f t="shared" si="19"/>
        <v>5306.3477683065757</v>
      </c>
      <c r="O52" s="2">
        <f t="shared" si="20"/>
        <v>85</v>
      </c>
      <c r="P52">
        <f t="shared" si="21"/>
        <v>7274.8316178396608</v>
      </c>
      <c r="R52" s="2">
        <f t="shared" si="10"/>
        <v>191</v>
      </c>
      <c r="S52">
        <f t="shared" si="11"/>
        <v>16346.974576557353</v>
      </c>
      <c r="T52">
        <f t="shared" si="12"/>
        <v>56636.381996923672</v>
      </c>
      <c r="V52" s="2">
        <f t="shared" si="22"/>
        <v>152</v>
      </c>
      <c r="W52">
        <f t="shared" si="23"/>
        <v>13009.110657783864</v>
      </c>
      <c r="Y52">
        <f t="shared" si="24"/>
        <v>45071.885149384289</v>
      </c>
    </row>
    <row r="53" spans="1:25" x14ac:dyDescent="0.25">
      <c r="A53" s="1">
        <v>51000</v>
      </c>
      <c r="B53" s="2">
        <v>277</v>
      </c>
      <c r="C53" s="2">
        <f>Table1[[#This Row],[Elev_CEM1]]-B73</f>
        <v>95</v>
      </c>
      <c r="D53">
        <f>Table1[[#This Row],[distance]]/$A$179</f>
        <v>0.28813559322033899</v>
      </c>
      <c r="E53">
        <f t="shared" si="15"/>
        <v>6.1545762711864409</v>
      </c>
      <c r="F53" s="8">
        <f>(1000*E53*C33*0.85*9.81)/1000</f>
        <v>10058.707110508476</v>
      </c>
      <c r="G53" s="9">
        <f t="shared" si="14"/>
        <v>10.058707110508475</v>
      </c>
      <c r="I53" s="2">
        <f t="shared" si="16"/>
        <v>19</v>
      </c>
      <c r="K53">
        <f t="shared" si="17"/>
        <v>1593.6160555785236</v>
      </c>
      <c r="L53" s="2">
        <f t="shared" si="18"/>
        <v>50</v>
      </c>
      <c r="M53">
        <f t="shared" si="19"/>
        <v>4193.7264620487467</v>
      </c>
      <c r="O53" s="2">
        <f t="shared" si="20"/>
        <v>76</v>
      </c>
      <c r="P53">
        <f t="shared" si="21"/>
        <v>6374.4642223140945</v>
      </c>
      <c r="R53" s="2">
        <f t="shared" ref="R53:R84" si="25">B34-B53</f>
        <v>185</v>
      </c>
      <c r="S53">
        <f t="shared" ref="S53:S84" si="26">(1000*9.81*F53*R53*0.85)/1000000</f>
        <v>15516.787909580358</v>
      </c>
      <c r="T53">
        <f t="shared" ref="T53:T84" si="27">(S53*8640*0.401)/1000</f>
        <v>53760.084063048496</v>
      </c>
      <c r="V53" s="2">
        <f t="shared" si="22"/>
        <v>143</v>
      </c>
      <c r="W53">
        <f t="shared" si="23"/>
        <v>11994.057681459415</v>
      </c>
      <c r="Y53">
        <f t="shared" si="24"/>
        <v>41555.092005491548</v>
      </c>
    </row>
    <row r="54" spans="1:25" x14ac:dyDescent="0.25">
      <c r="A54" s="1">
        <v>52000</v>
      </c>
      <c r="B54" s="2">
        <v>272</v>
      </c>
      <c r="C54" s="2">
        <f>Table1[[#This Row],[Elev_CEM1]]-B74</f>
        <v>89</v>
      </c>
      <c r="D54">
        <f>Table1[[#This Row],[distance]]/$A$179</f>
        <v>0.29378531073446329</v>
      </c>
      <c r="E54">
        <f t="shared" si="15"/>
        <v>6.2752542372881361</v>
      </c>
      <c r="F54" s="8">
        <f t="shared" ref="F54:F85" si="28">(1000*E54*C34*0.85*9.81)/1000</f>
        <v>9941.9794169491543</v>
      </c>
      <c r="G54">
        <f t="shared" ref="G54:G85" si="29">F54/1000</f>
        <v>9.9419794169491542</v>
      </c>
      <c r="I54" s="2">
        <f t="shared" si="16"/>
        <v>21</v>
      </c>
      <c r="K54">
        <f t="shared" si="17"/>
        <v>1740.9251027328407</v>
      </c>
      <c r="L54" s="2">
        <f t="shared" si="18"/>
        <v>47</v>
      </c>
      <c r="M54">
        <f t="shared" si="19"/>
        <v>3896.3561823068344</v>
      </c>
      <c r="O54" s="2">
        <f t="shared" si="20"/>
        <v>72</v>
      </c>
      <c r="P54">
        <f t="shared" si="21"/>
        <v>5968.8860665125967</v>
      </c>
      <c r="R54" s="2">
        <f t="shared" si="25"/>
        <v>179</v>
      </c>
      <c r="S54">
        <f t="shared" si="26"/>
        <v>14839.313970913263</v>
      </c>
      <c r="T54">
        <f t="shared" si="27"/>
        <v>51412.880756184939</v>
      </c>
      <c r="V54" s="2">
        <f t="shared" si="22"/>
        <v>140</v>
      </c>
      <c r="W54">
        <f t="shared" si="23"/>
        <v>11606.167351552273</v>
      </c>
      <c r="Y54">
        <f t="shared" si="24"/>
        <v>40211.191652882073</v>
      </c>
    </row>
    <row r="55" spans="1:25" x14ac:dyDescent="0.25">
      <c r="A55" s="1">
        <v>53000</v>
      </c>
      <c r="B55" s="2">
        <v>263</v>
      </c>
      <c r="C55" s="2">
        <f>Table1[[#This Row],[Elev_CEM1]]-B75</f>
        <v>85</v>
      </c>
      <c r="D55">
        <f>Table1[[#This Row],[distance]]/$A$179</f>
        <v>0.29943502824858759</v>
      </c>
      <c r="E55">
        <f t="shared" si="15"/>
        <v>6.3959322033898305</v>
      </c>
      <c r="F55" s="8">
        <f t="shared" si="28"/>
        <v>10026.506367457627</v>
      </c>
      <c r="G55">
        <f t="shared" si="29"/>
        <v>10.026506367457626</v>
      </c>
      <c r="I55" s="2">
        <f t="shared" si="16"/>
        <v>19</v>
      </c>
      <c r="K55">
        <f t="shared" si="17"/>
        <v>1588.5144435558632</v>
      </c>
      <c r="L55" s="2">
        <f t="shared" si="18"/>
        <v>55</v>
      </c>
      <c r="M55">
        <f t="shared" si="19"/>
        <v>4598.3312839774981</v>
      </c>
      <c r="O55" s="2">
        <f t="shared" si="20"/>
        <v>64</v>
      </c>
      <c r="P55">
        <f t="shared" si="21"/>
        <v>5350.7854940829066</v>
      </c>
      <c r="R55" s="2">
        <f t="shared" si="25"/>
        <v>184</v>
      </c>
      <c r="S55">
        <f t="shared" si="26"/>
        <v>15383.50829548836</v>
      </c>
      <c r="T55">
        <f t="shared" si="27"/>
        <v>53298.318180880793</v>
      </c>
      <c r="V55" s="2">
        <f t="shared" si="22"/>
        <v>130</v>
      </c>
      <c r="W55">
        <f t="shared" si="23"/>
        <v>10868.783034855904</v>
      </c>
      <c r="Y55">
        <f t="shared" si="24"/>
        <v>37656.420453883155</v>
      </c>
    </row>
    <row r="56" spans="1:25" x14ac:dyDescent="0.25">
      <c r="A56" s="1">
        <v>54000</v>
      </c>
      <c r="B56" s="2">
        <v>260</v>
      </c>
      <c r="C56" s="2">
        <f>Table1[[#This Row],[Elev_CEM1]]-B76</f>
        <v>83</v>
      </c>
      <c r="D56">
        <f>Table1[[#This Row],[distance]]/$A$179</f>
        <v>0.30508474576271188</v>
      </c>
      <c r="E56">
        <f t="shared" si="15"/>
        <v>6.5166101694915257</v>
      </c>
      <c r="F56" s="8">
        <f t="shared" si="28"/>
        <v>10161.346978983052</v>
      </c>
      <c r="G56">
        <f t="shared" si="29"/>
        <v>10.161346978983053</v>
      </c>
      <c r="I56" s="2">
        <f t="shared" si="16"/>
        <v>17</v>
      </c>
      <c r="K56">
        <f t="shared" si="17"/>
        <v>1440.4166603322533</v>
      </c>
      <c r="L56" s="2">
        <f t="shared" si="18"/>
        <v>45</v>
      </c>
      <c r="M56">
        <f t="shared" si="19"/>
        <v>3812.8676302912577</v>
      </c>
      <c r="O56" s="2">
        <f t="shared" si="20"/>
        <v>59</v>
      </c>
      <c r="P56">
        <f t="shared" si="21"/>
        <v>4999.0931152707608</v>
      </c>
      <c r="R56" s="2">
        <f t="shared" si="25"/>
        <v>192</v>
      </c>
      <c r="S56">
        <f t="shared" si="26"/>
        <v>16268.235222576033</v>
      </c>
      <c r="T56">
        <f t="shared" si="27"/>
        <v>56363.578481545839</v>
      </c>
      <c r="V56" s="2">
        <f t="shared" si="22"/>
        <v>114</v>
      </c>
      <c r="W56">
        <f t="shared" si="23"/>
        <v>9659.2646634045195</v>
      </c>
      <c r="Y56">
        <f t="shared" si="24"/>
        <v>33465.874723417837</v>
      </c>
    </row>
    <row r="57" spans="1:25" x14ac:dyDescent="0.25">
      <c r="A57" s="1">
        <v>55000</v>
      </c>
      <c r="B57" s="2">
        <v>251</v>
      </c>
      <c r="C57" s="2">
        <f>Table1[[#This Row],[Elev_CEM1]]-B77</f>
        <v>79</v>
      </c>
      <c r="D57">
        <f>Table1[[#This Row],[distance]]/$A$179</f>
        <v>0.31073446327683618</v>
      </c>
      <c r="E57">
        <f t="shared" si="15"/>
        <v>6.637288135593221</v>
      </c>
      <c r="F57" s="8">
        <f t="shared" si="28"/>
        <v>11124.350450847462</v>
      </c>
      <c r="G57">
        <f t="shared" si="29"/>
        <v>11.124350450847462</v>
      </c>
      <c r="I57" s="2">
        <f t="shared" si="16"/>
        <v>21</v>
      </c>
      <c r="K57">
        <f t="shared" si="17"/>
        <v>1947.9683209222226</v>
      </c>
      <c r="L57" s="2">
        <f t="shared" si="18"/>
        <v>45</v>
      </c>
      <c r="M57">
        <f t="shared" si="19"/>
        <v>4174.2178305476191</v>
      </c>
      <c r="O57" s="2">
        <f t="shared" si="20"/>
        <v>67</v>
      </c>
      <c r="P57">
        <f t="shared" si="21"/>
        <v>6214.946547704234</v>
      </c>
      <c r="R57" s="2">
        <f t="shared" si="25"/>
        <v>183</v>
      </c>
      <c r="S57">
        <f t="shared" si="26"/>
        <v>16975.152510893655</v>
      </c>
      <c r="T57">
        <f t="shared" si="27"/>
        <v>58812.792395342592</v>
      </c>
      <c r="V57" s="2">
        <f t="shared" si="22"/>
        <v>116</v>
      </c>
      <c r="W57">
        <f t="shared" si="23"/>
        <v>10760.205963189421</v>
      </c>
      <c r="Y57">
        <f t="shared" si="24"/>
        <v>37280.239988304595</v>
      </c>
    </row>
    <row r="58" spans="1:25" x14ac:dyDescent="0.25">
      <c r="A58" s="1">
        <v>56000</v>
      </c>
      <c r="B58" s="2">
        <v>252</v>
      </c>
      <c r="C58" s="2">
        <f>Table1[[#This Row],[Elev_CEM1]]-B78</f>
        <v>81</v>
      </c>
      <c r="D58">
        <f>Table1[[#This Row],[distance]]/$A$179</f>
        <v>0.31638418079096048</v>
      </c>
      <c r="E58">
        <f t="shared" si="15"/>
        <v>6.7579661016949153</v>
      </c>
      <c r="F58" s="8">
        <f>(1000*E58*C38*0.85*9.81)/1000</f>
        <v>10255.936661694914</v>
      </c>
      <c r="G58">
        <f t="shared" si="29"/>
        <v>10.255936661694914</v>
      </c>
      <c r="I58" s="2">
        <f t="shared" si="16"/>
        <v>11</v>
      </c>
      <c r="K58">
        <f t="shared" si="17"/>
        <v>940.71040638897341</v>
      </c>
      <c r="L58" s="2">
        <f t="shared" si="18"/>
        <v>41</v>
      </c>
      <c r="M58">
        <f t="shared" si="19"/>
        <v>3506.2842419952644</v>
      </c>
      <c r="O58" s="2">
        <f t="shared" si="20"/>
        <v>53</v>
      </c>
      <c r="P58">
        <f t="shared" si="21"/>
        <v>4532.5137762377808</v>
      </c>
      <c r="R58" s="2">
        <f t="shared" si="25"/>
        <v>168</v>
      </c>
      <c r="S58">
        <f t="shared" si="26"/>
        <v>14367.21347939523</v>
      </c>
      <c r="T58">
        <f t="shared" si="27"/>
        <v>49777.222509251893</v>
      </c>
      <c r="V58" s="2">
        <f t="shared" si="22"/>
        <v>101</v>
      </c>
      <c r="W58">
        <f t="shared" si="23"/>
        <v>8637.4319132078454</v>
      </c>
      <c r="Y58">
        <f t="shared" si="24"/>
        <v>29925.592103776431</v>
      </c>
    </row>
    <row r="59" spans="1:25" x14ac:dyDescent="0.25">
      <c r="A59" s="1">
        <v>57000</v>
      </c>
      <c r="B59" s="2">
        <v>253</v>
      </c>
      <c r="C59" s="2">
        <f>Table1[[#This Row],[Elev_CEM1]]-B79</f>
        <v>89</v>
      </c>
      <c r="D59">
        <f>Table1[[#This Row],[distance]]/$A$179</f>
        <v>0.32203389830508472</v>
      </c>
      <c r="E59">
        <f t="shared" si="15"/>
        <v>6.8786440677966096</v>
      </c>
      <c r="F59" s="8">
        <f t="shared" si="28"/>
        <v>9578.7147844067767</v>
      </c>
      <c r="G59">
        <f t="shared" si="29"/>
        <v>9.5787147844067775</v>
      </c>
      <c r="I59" s="2">
        <f t="shared" si="16"/>
        <v>7</v>
      </c>
      <c r="K59">
        <f t="shared" si="17"/>
        <v>559.10479260843135</v>
      </c>
      <c r="L59" s="2">
        <f t="shared" si="18"/>
        <v>29</v>
      </c>
      <c r="M59">
        <f t="shared" si="19"/>
        <v>2316.2912836635014</v>
      </c>
      <c r="O59" s="2">
        <f t="shared" si="20"/>
        <v>43</v>
      </c>
      <c r="P59">
        <f t="shared" si="21"/>
        <v>3434.5008688803646</v>
      </c>
      <c r="R59" s="2">
        <f t="shared" si="25"/>
        <v>159</v>
      </c>
      <c r="S59">
        <f t="shared" si="26"/>
        <v>12699.66600353437</v>
      </c>
      <c r="T59">
        <f t="shared" si="27"/>
        <v>43999.77082248532</v>
      </c>
      <c r="V59" s="2">
        <f t="shared" si="22"/>
        <v>91</v>
      </c>
      <c r="W59">
        <f t="shared" si="23"/>
        <v>7268.3623039096083</v>
      </c>
      <c r="Y59">
        <f t="shared" si="24"/>
        <v>25182.258772617388</v>
      </c>
    </row>
    <row r="60" spans="1:25" x14ac:dyDescent="0.25">
      <c r="A60" s="1">
        <v>58000</v>
      </c>
      <c r="B60" s="2">
        <v>242</v>
      </c>
      <c r="C60" s="2">
        <f>Table1[[#This Row],[Elev_CEM1]]-B80</f>
        <v>77</v>
      </c>
      <c r="D60">
        <f>Table1[[#This Row],[distance]]/$A$179</f>
        <v>0.32768361581920902</v>
      </c>
      <c r="E60">
        <f t="shared" si="15"/>
        <v>6.9993220338983049</v>
      </c>
      <c r="F60" s="8">
        <f t="shared" si="28"/>
        <v>9921.8539525423712</v>
      </c>
      <c r="G60">
        <f t="shared" si="29"/>
        <v>9.9218539525423708</v>
      </c>
      <c r="I60" s="2">
        <f t="shared" si="16"/>
        <v>9</v>
      </c>
      <c r="K60">
        <f t="shared" si="17"/>
        <v>744.60041264947108</v>
      </c>
      <c r="L60" s="2">
        <f t="shared" si="18"/>
        <v>35</v>
      </c>
      <c r="M60">
        <f t="shared" si="19"/>
        <v>2895.6682714146095</v>
      </c>
      <c r="O60" s="2">
        <f t="shared" si="20"/>
        <v>51</v>
      </c>
      <c r="P60">
        <f t="shared" si="21"/>
        <v>4219.4023383470021</v>
      </c>
      <c r="R60" s="2">
        <f t="shared" si="25"/>
        <v>151</v>
      </c>
      <c r="S60">
        <f t="shared" si="26"/>
        <v>12492.740256674459</v>
      </c>
      <c r="T60">
        <f t="shared" si="27"/>
        <v>43282.847602884598</v>
      </c>
      <c r="V60" s="2">
        <f t="shared" si="22"/>
        <v>85</v>
      </c>
      <c r="W60">
        <f t="shared" si="23"/>
        <v>7032.3372305783378</v>
      </c>
      <c r="Y60">
        <f t="shared" si="24"/>
        <v>24364.516862550932</v>
      </c>
    </row>
    <row r="61" spans="1:25" x14ac:dyDescent="0.25">
      <c r="A61" s="1">
        <v>59000</v>
      </c>
      <c r="B61" s="2">
        <v>236</v>
      </c>
      <c r="C61" s="2">
        <f>Table1[[#This Row],[Elev_CEM1]]-B81</f>
        <v>73</v>
      </c>
      <c r="D61">
        <f>Table1[[#This Row],[distance]]/$A$179</f>
        <v>0.33333333333333331</v>
      </c>
      <c r="E61">
        <f t="shared" si="15"/>
        <v>7.1199999999999992</v>
      </c>
      <c r="F61" s="8">
        <f t="shared" si="28"/>
        <v>9321.1088399999971</v>
      </c>
      <c r="G61">
        <f t="shared" si="29"/>
        <v>9.3211088399999973</v>
      </c>
      <c r="I61" s="2">
        <f t="shared" si="16"/>
        <v>16</v>
      </c>
      <c r="K61">
        <f t="shared" si="17"/>
        <v>1243.5850569974396</v>
      </c>
      <c r="L61" s="2">
        <f t="shared" si="18"/>
        <v>36</v>
      </c>
      <c r="M61">
        <f t="shared" si="19"/>
        <v>2798.0663782442393</v>
      </c>
      <c r="O61" s="2">
        <f t="shared" si="20"/>
        <v>46</v>
      </c>
      <c r="P61">
        <f t="shared" si="21"/>
        <v>3575.3070388676392</v>
      </c>
      <c r="R61" s="2">
        <f t="shared" si="25"/>
        <v>138</v>
      </c>
      <c r="S61">
        <f t="shared" si="26"/>
        <v>10725.921116602916</v>
      </c>
      <c r="T61">
        <f t="shared" si="27"/>
        <v>37161.455337427135</v>
      </c>
      <c r="V61" s="2">
        <f t="shared" si="22"/>
        <v>83</v>
      </c>
      <c r="W61">
        <f t="shared" si="23"/>
        <v>6451.0974831742178</v>
      </c>
      <c r="Y61">
        <f t="shared" si="24"/>
        <v>22350.730384104721</v>
      </c>
    </row>
    <row r="62" spans="1:25" x14ac:dyDescent="0.25">
      <c r="A62" s="1">
        <v>60000</v>
      </c>
      <c r="B62" s="2">
        <v>228</v>
      </c>
      <c r="C62" s="2">
        <f>Table1[[#This Row],[Elev_CEM1]]-B82</f>
        <v>75</v>
      </c>
      <c r="D62">
        <f>Table1[[#This Row],[distance]]/$A$179</f>
        <v>0.33898305084745761</v>
      </c>
      <c r="E62">
        <f t="shared" si="15"/>
        <v>7.2406779661016945</v>
      </c>
      <c r="F62" s="8">
        <f t="shared" si="28"/>
        <v>8814.9534101694917</v>
      </c>
      <c r="G62">
        <f t="shared" si="29"/>
        <v>8.8149534101694922</v>
      </c>
      <c r="I62" s="2">
        <f t="shared" si="16"/>
        <v>25</v>
      </c>
      <c r="K62">
        <f t="shared" si="17"/>
        <v>1837.5872252674578</v>
      </c>
      <c r="L62" s="2">
        <f t="shared" si="18"/>
        <v>35</v>
      </c>
      <c r="M62">
        <f t="shared" si="19"/>
        <v>2572.6221153744405</v>
      </c>
      <c r="O62" s="2">
        <f t="shared" si="20"/>
        <v>49</v>
      </c>
      <c r="P62">
        <f t="shared" si="21"/>
        <v>3601.6709615242166</v>
      </c>
      <c r="R62" s="2">
        <f t="shared" si="25"/>
        <v>139</v>
      </c>
      <c r="S62">
        <f t="shared" si="26"/>
        <v>10216.984972487064</v>
      </c>
      <c r="T62">
        <f t="shared" si="27"/>
        <v>35398.174815077582</v>
      </c>
      <c r="V62" s="2">
        <f t="shared" si="22"/>
        <v>90</v>
      </c>
      <c r="W62">
        <f t="shared" si="23"/>
        <v>6615.3140109628475</v>
      </c>
      <c r="Y62">
        <f t="shared" si="24"/>
        <v>22919.681534942323</v>
      </c>
    </row>
    <row r="63" spans="1:25" x14ac:dyDescent="0.25">
      <c r="A63" s="1">
        <v>61000</v>
      </c>
      <c r="B63" s="2">
        <v>227</v>
      </c>
      <c r="C63" s="2">
        <f>Table1[[#This Row],[Elev_CEM1]]-B83</f>
        <v>69</v>
      </c>
      <c r="D63">
        <f>Table1[[#This Row],[distance]]/$A$179</f>
        <v>0.34463276836158191</v>
      </c>
      <c r="E63">
        <f t="shared" si="15"/>
        <v>7.3613559322033897</v>
      </c>
      <c r="F63" s="8">
        <f t="shared" si="28"/>
        <v>8593.5733016949143</v>
      </c>
      <c r="G63">
        <f t="shared" si="29"/>
        <v>8.5935733016949136</v>
      </c>
      <c r="I63" s="2">
        <f t="shared" si="16"/>
        <v>15</v>
      </c>
      <c r="K63">
        <f t="shared" si="17"/>
        <v>1074.8626646427456</v>
      </c>
      <c r="L63" s="2">
        <f t="shared" si="18"/>
        <v>33</v>
      </c>
      <c r="M63">
        <f t="shared" si="19"/>
        <v>2364.6978622140409</v>
      </c>
      <c r="O63" s="2">
        <f t="shared" si="20"/>
        <v>45</v>
      </c>
      <c r="P63">
        <f t="shared" si="21"/>
        <v>3224.5879939282368</v>
      </c>
      <c r="R63" s="2">
        <f t="shared" si="25"/>
        <v>126</v>
      </c>
      <c r="S63">
        <f t="shared" si="26"/>
        <v>9028.8463829990633</v>
      </c>
      <c r="T63">
        <f t="shared" si="27"/>
        <v>31281.702332393877</v>
      </c>
      <c r="V63" s="2">
        <f t="shared" si="22"/>
        <v>78</v>
      </c>
      <c r="W63">
        <f t="shared" si="23"/>
        <v>5589.2858561422781</v>
      </c>
      <c r="Y63">
        <f t="shared" si="24"/>
        <v>19364.863348624785</v>
      </c>
    </row>
    <row r="64" spans="1:25" x14ac:dyDescent="0.25">
      <c r="A64" s="1">
        <v>62000</v>
      </c>
      <c r="B64" s="2">
        <v>224</v>
      </c>
      <c r="C64" s="2">
        <f>Table1[[#This Row],[Elev_CEM1]]-B84</f>
        <v>64</v>
      </c>
      <c r="D64">
        <f>Table1[[#This Row],[distance]]/$A$179</f>
        <v>0.35028248587570621</v>
      </c>
      <c r="E64">
        <f t="shared" si="15"/>
        <v>7.482033898305084</v>
      </c>
      <c r="F64" s="8">
        <f t="shared" si="28"/>
        <v>8048.173216271186</v>
      </c>
      <c r="G64">
        <f t="shared" si="29"/>
        <v>8.0481732162711861</v>
      </c>
      <c r="I64" s="2">
        <f t="shared" si="16"/>
        <v>12</v>
      </c>
      <c r="K64">
        <f t="shared" si="17"/>
        <v>805.31630836652732</v>
      </c>
      <c r="L64" s="2">
        <f t="shared" si="18"/>
        <v>27</v>
      </c>
      <c r="M64">
        <f t="shared" si="19"/>
        <v>1811.9616938246868</v>
      </c>
      <c r="O64" s="2">
        <f t="shared" si="20"/>
        <v>39</v>
      </c>
      <c r="P64">
        <f t="shared" si="21"/>
        <v>2617.278002191214</v>
      </c>
      <c r="R64" s="2">
        <f t="shared" si="25"/>
        <v>120</v>
      </c>
      <c r="S64">
        <f t="shared" si="26"/>
        <v>8053.1630836652748</v>
      </c>
      <c r="T64">
        <f t="shared" si="27"/>
        <v>27901.31094619006</v>
      </c>
      <c r="V64" s="2">
        <f t="shared" si="22"/>
        <v>72</v>
      </c>
      <c r="W64">
        <f t="shared" si="23"/>
        <v>4831.8978501991642</v>
      </c>
      <c r="Y64">
        <f t="shared" si="24"/>
        <v>16740.786567714033</v>
      </c>
    </row>
    <row r="65" spans="1:25" x14ac:dyDescent="0.25">
      <c r="A65" s="1">
        <v>63000</v>
      </c>
      <c r="B65" s="2">
        <v>216</v>
      </c>
      <c r="C65" s="2">
        <f>Table1[[#This Row],[Elev_CEM1]]-B85</f>
        <v>67</v>
      </c>
      <c r="D65">
        <f>Table1[[#This Row],[distance]]/$A$179</f>
        <v>0.3559322033898305</v>
      </c>
      <c r="E65">
        <f t="shared" si="15"/>
        <v>7.6027118644067793</v>
      </c>
      <c r="F65" s="8">
        <f t="shared" si="28"/>
        <v>8114.5872488135592</v>
      </c>
      <c r="G65">
        <f t="shared" si="29"/>
        <v>8.1145872488135584</v>
      </c>
      <c r="I65" s="2">
        <f t="shared" si="16"/>
        <v>12</v>
      </c>
      <c r="K65">
        <f t="shared" si="17"/>
        <v>811.96182929078236</v>
      </c>
      <c r="L65" s="2">
        <f t="shared" si="18"/>
        <v>36</v>
      </c>
      <c r="M65">
        <f t="shared" si="19"/>
        <v>2435.8854878723469</v>
      </c>
      <c r="O65" s="2">
        <f t="shared" si="20"/>
        <v>44</v>
      </c>
      <c r="P65">
        <f t="shared" si="21"/>
        <v>2977.1933740662016</v>
      </c>
      <c r="R65" s="2">
        <f t="shared" si="25"/>
        <v>111</v>
      </c>
      <c r="S65">
        <f t="shared" si="26"/>
        <v>7510.6469209397355</v>
      </c>
      <c r="T65">
        <f t="shared" si="27"/>
        <v>26021.687748164648</v>
      </c>
      <c r="V65" s="2">
        <f t="shared" si="22"/>
        <v>77</v>
      </c>
      <c r="W65">
        <f t="shared" si="23"/>
        <v>5210.0884046158535</v>
      </c>
      <c r="Y65">
        <f t="shared" si="24"/>
        <v>18051.080690168274</v>
      </c>
    </row>
    <row r="66" spans="1:25" x14ac:dyDescent="0.25">
      <c r="A66" s="1">
        <v>64000</v>
      </c>
      <c r="B66" s="2">
        <v>211</v>
      </c>
      <c r="C66" s="2">
        <f>Table1[[#This Row],[Elev_CEM1]]-B86</f>
        <v>55</v>
      </c>
      <c r="D66">
        <f>Table1[[#This Row],[distance]]/$A$179</f>
        <v>0.3615819209039548</v>
      </c>
      <c r="E66">
        <f t="shared" ref="E66:E97" si="30">21.36*D66</f>
        <v>7.7233898305084745</v>
      </c>
      <c r="F66" s="8">
        <f t="shared" si="28"/>
        <v>7470.5723877966102</v>
      </c>
      <c r="G66">
        <f t="shared" si="29"/>
        <v>7.4705723877966106</v>
      </c>
      <c r="I66" s="2">
        <f t="shared" si="16"/>
        <v>16</v>
      </c>
      <c r="K66">
        <f t="shared" si="17"/>
        <v>996.6938856902724</v>
      </c>
      <c r="L66" s="2">
        <f t="shared" si="18"/>
        <v>42</v>
      </c>
      <c r="M66">
        <f t="shared" si="19"/>
        <v>2616.3214499369656</v>
      </c>
      <c r="O66" s="2">
        <f t="shared" si="20"/>
        <v>40</v>
      </c>
      <c r="P66">
        <f t="shared" si="21"/>
        <v>2491.7347142256813</v>
      </c>
      <c r="R66" s="2">
        <f t="shared" si="25"/>
        <v>108</v>
      </c>
      <c r="S66">
        <f t="shared" si="26"/>
        <v>6727.683728409339</v>
      </c>
      <c r="T66">
        <f t="shared" si="27"/>
        <v>23309.002152796129</v>
      </c>
      <c r="V66" s="2">
        <f t="shared" si="22"/>
        <v>71</v>
      </c>
      <c r="W66">
        <f t="shared" si="23"/>
        <v>4422.8291177505844</v>
      </c>
      <c r="Y66">
        <f t="shared" si="24"/>
        <v>15323.510674523386</v>
      </c>
    </row>
    <row r="67" spans="1:25" x14ac:dyDescent="0.25">
      <c r="A67" s="1">
        <v>65000</v>
      </c>
      <c r="B67" s="2">
        <v>207</v>
      </c>
      <c r="C67" s="2">
        <f>Table1[[#This Row],[Elev_CEM1]]-B87</f>
        <v>59</v>
      </c>
      <c r="D67">
        <f>Table1[[#This Row],[distance]]/$A$179</f>
        <v>0.3672316384180791</v>
      </c>
      <c r="E67">
        <f t="shared" si="30"/>
        <v>7.8440677966101697</v>
      </c>
      <c r="F67" s="8">
        <f t="shared" si="28"/>
        <v>7325.6690440677967</v>
      </c>
      <c r="G67">
        <f t="shared" si="29"/>
        <v>7.325669044067797</v>
      </c>
      <c r="I67" s="2">
        <f t="shared" si="16"/>
        <v>17</v>
      </c>
      <c r="K67">
        <f t="shared" si="17"/>
        <v>1038.4465525073085</v>
      </c>
      <c r="L67" s="2">
        <f t="shared" si="18"/>
        <v>35</v>
      </c>
      <c r="M67">
        <f t="shared" si="19"/>
        <v>2137.9781963385763</v>
      </c>
      <c r="O67" s="2">
        <f t="shared" si="20"/>
        <v>45</v>
      </c>
      <c r="P67">
        <f t="shared" si="21"/>
        <v>2748.8291095781692</v>
      </c>
      <c r="R67" s="2">
        <f t="shared" si="25"/>
        <v>111</v>
      </c>
      <c r="S67">
        <f t="shared" si="26"/>
        <v>6780.4451369594854</v>
      </c>
      <c r="T67">
        <f t="shared" si="27"/>
        <v>23491.80143931531</v>
      </c>
      <c r="V67" s="2">
        <f t="shared" si="22"/>
        <v>70</v>
      </c>
      <c r="W67">
        <f t="shared" si="23"/>
        <v>4275.9563926771525</v>
      </c>
      <c r="Y67">
        <f t="shared" si="24"/>
        <v>14814.64955632497</v>
      </c>
    </row>
    <row r="68" spans="1:25" x14ac:dyDescent="0.25">
      <c r="A68" s="1">
        <v>66000</v>
      </c>
      <c r="B68" s="2">
        <v>204</v>
      </c>
      <c r="C68" s="2">
        <f>Table1[[#This Row],[Elev_CEM1]]-B88</f>
        <v>57</v>
      </c>
      <c r="D68">
        <f>Table1[[#This Row],[distance]]/$A$179</f>
        <v>0.3728813559322034</v>
      </c>
      <c r="E68">
        <f t="shared" si="30"/>
        <v>7.9647457627118641</v>
      </c>
      <c r="F68" s="8">
        <f t="shared" si="28"/>
        <v>7571.1997098305073</v>
      </c>
      <c r="G68">
        <f t="shared" si="29"/>
        <v>7.5711997098305073</v>
      </c>
      <c r="I68" s="2">
        <f t="shared" si="16"/>
        <v>12</v>
      </c>
      <c r="K68">
        <f t="shared" si="17"/>
        <v>757.58938536506025</v>
      </c>
      <c r="L68" s="2">
        <f t="shared" si="18"/>
        <v>32</v>
      </c>
      <c r="M68">
        <f t="shared" si="19"/>
        <v>2020.2383609734939</v>
      </c>
      <c r="O68" s="2">
        <f t="shared" si="20"/>
        <v>49</v>
      </c>
      <c r="P68">
        <f t="shared" si="21"/>
        <v>3093.4899902406628</v>
      </c>
      <c r="R68" s="2">
        <f t="shared" si="25"/>
        <v>101</v>
      </c>
      <c r="S68">
        <f t="shared" si="26"/>
        <v>6376.3773268225896</v>
      </c>
      <c r="T68">
        <f t="shared" si="27"/>
        <v>22091.851941602617</v>
      </c>
      <c r="V68" s="2">
        <f t="shared" si="22"/>
        <v>68</v>
      </c>
      <c r="W68">
        <f t="shared" si="23"/>
        <v>4293.0065170686748</v>
      </c>
      <c r="Y68">
        <f t="shared" si="24"/>
        <v>14873.722099296816</v>
      </c>
    </row>
    <row r="69" spans="1:25" x14ac:dyDescent="0.25">
      <c r="A69" s="1">
        <v>67000</v>
      </c>
      <c r="B69" s="2">
        <v>201</v>
      </c>
      <c r="C69" s="2">
        <f>Table1[[#This Row],[Elev_CEM1]]-B89</f>
        <v>58</v>
      </c>
      <c r="D69">
        <f>Table1[[#This Row],[distance]]/$A$179</f>
        <v>0.37853107344632769</v>
      </c>
      <c r="E69">
        <f t="shared" si="30"/>
        <v>8.0854237288135593</v>
      </c>
      <c r="F69" s="8">
        <f t="shared" si="28"/>
        <v>7011.7117993220345</v>
      </c>
      <c r="G69">
        <f t="shared" si="29"/>
        <v>7.0117117993220344</v>
      </c>
      <c r="I69" s="2">
        <f t="shared" ref="I69:I100" si="31">B66-B69</f>
        <v>10</v>
      </c>
      <c r="K69">
        <f t="shared" ref="K69:K100" si="32">(1000*9.81*I69*F69*0.85)/1000000</f>
        <v>584.67158838646776</v>
      </c>
      <c r="L69" s="2">
        <f t="shared" si="18"/>
        <v>27</v>
      </c>
      <c r="M69">
        <f t="shared" si="19"/>
        <v>1578.613288643463</v>
      </c>
      <c r="O69" s="2">
        <f t="shared" si="20"/>
        <v>41</v>
      </c>
      <c r="P69">
        <f t="shared" si="21"/>
        <v>2397.1535123845179</v>
      </c>
      <c r="R69" s="2">
        <f t="shared" si="25"/>
        <v>95</v>
      </c>
      <c r="S69">
        <f t="shared" si="26"/>
        <v>5554.3800896714438</v>
      </c>
      <c r="T69">
        <f t="shared" si="27"/>
        <v>19243.927433879275</v>
      </c>
      <c r="V69" s="2">
        <f t="shared" si="22"/>
        <v>62</v>
      </c>
      <c r="W69">
        <f t="shared" si="23"/>
        <v>3624.9638479961</v>
      </c>
      <c r="Y69">
        <f t="shared" si="24"/>
        <v>12559.194746321209</v>
      </c>
    </row>
    <row r="70" spans="1:25" x14ac:dyDescent="0.25">
      <c r="A70" s="1">
        <v>68000</v>
      </c>
      <c r="B70" s="2">
        <v>193</v>
      </c>
      <c r="C70" s="2">
        <f>Table1[[#This Row],[Elev_CEM1]]-B90</f>
        <v>52</v>
      </c>
      <c r="D70">
        <f>Table1[[#This Row],[distance]]/$A$179</f>
        <v>0.38418079096045199</v>
      </c>
      <c r="E70">
        <f t="shared" si="30"/>
        <v>8.2061016949152545</v>
      </c>
      <c r="F70" s="8">
        <f t="shared" si="28"/>
        <v>7047.9376352542376</v>
      </c>
      <c r="G70">
        <f t="shared" si="29"/>
        <v>7.0479376352542378</v>
      </c>
      <c r="I70" s="2">
        <f t="shared" si="31"/>
        <v>14</v>
      </c>
      <c r="K70">
        <f t="shared" si="32"/>
        <v>822.7691916019445</v>
      </c>
      <c r="L70" s="2">
        <f t="shared" si="18"/>
        <v>34</v>
      </c>
      <c r="M70">
        <f t="shared" si="19"/>
        <v>1998.1537510332932</v>
      </c>
      <c r="O70" s="2">
        <f t="shared" si="20"/>
        <v>43</v>
      </c>
      <c r="P70">
        <f t="shared" si="21"/>
        <v>2527.0768027774011</v>
      </c>
      <c r="R70" s="2">
        <f t="shared" si="25"/>
        <v>100</v>
      </c>
      <c r="S70">
        <f t="shared" si="26"/>
        <v>5876.9227971567452</v>
      </c>
      <c r="T70">
        <f t="shared" si="27"/>
        <v>20361.421799941148</v>
      </c>
      <c r="V70" s="2">
        <f t="shared" si="22"/>
        <v>67</v>
      </c>
      <c r="W70">
        <f t="shared" si="23"/>
        <v>3937.5382740950199</v>
      </c>
      <c r="Y70">
        <f t="shared" si="24"/>
        <v>13642.152605960571</v>
      </c>
    </row>
    <row r="71" spans="1:25" x14ac:dyDescent="0.25">
      <c r="A71" s="1">
        <v>69000</v>
      </c>
      <c r="B71" s="2">
        <v>194</v>
      </c>
      <c r="C71" s="2">
        <f>Table1[[#This Row],[Elev_CEM1]]-B91</f>
        <v>56</v>
      </c>
      <c r="D71">
        <f>Table1[[#This Row],[distance]]/$A$179</f>
        <v>0.38983050847457629</v>
      </c>
      <c r="E71">
        <f t="shared" si="30"/>
        <v>8.3267796610169498</v>
      </c>
      <c r="F71" s="8">
        <f t="shared" si="28"/>
        <v>6873.8523681355946</v>
      </c>
      <c r="G71">
        <f t="shared" si="29"/>
        <v>6.8738523681355943</v>
      </c>
      <c r="I71" s="2">
        <f t="shared" si="31"/>
        <v>10</v>
      </c>
      <c r="K71">
        <f t="shared" si="32"/>
        <v>573.17617971698655</v>
      </c>
      <c r="L71" s="2">
        <f t="shared" si="18"/>
        <v>30</v>
      </c>
      <c r="M71">
        <f t="shared" si="19"/>
        <v>1719.5285391509594</v>
      </c>
      <c r="O71" s="2">
        <f t="shared" si="20"/>
        <v>34</v>
      </c>
      <c r="P71">
        <f t="shared" si="21"/>
        <v>1948.7990110377541</v>
      </c>
      <c r="R71" s="2">
        <f t="shared" si="25"/>
        <v>88</v>
      </c>
      <c r="S71">
        <f t="shared" si="26"/>
        <v>5043.9503815094813</v>
      </c>
      <c r="T71">
        <f t="shared" si="27"/>
        <v>17475.472249793009</v>
      </c>
      <c r="V71" s="2">
        <f t="shared" si="22"/>
        <v>57</v>
      </c>
      <c r="W71">
        <f t="shared" si="23"/>
        <v>3267.1042243868233</v>
      </c>
      <c r="Y71">
        <f t="shared" si="24"/>
        <v>11319.339979979564</v>
      </c>
    </row>
    <row r="72" spans="1:25" x14ac:dyDescent="0.25">
      <c r="A72" s="1">
        <v>70000</v>
      </c>
      <c r="B72" s="2">
        <v>191</v>
      </c>
      <c r="C72" s="2">
        <f>Table1[[#This Row],[Elev_CEM1]]-B92</f>
        <v>47</v>
      </c>
      <c r="D72">
        <f>Table1[[#This Row],[distance]]/$A$179</f>
        <v>0.39548022598870058</v>
      </c>
      <c r="E72">
        <f t="shared" si="30"/>
        <v>8.447457627118645</v>
      </c>
      <c r="F72" s="8">
        <f t="shared" si="28"/>
        <v>6409.9604135593236</v>
      </c>
      <c r="G72">
        <f t="shared" si="29"/>
        <v>6.4099604135593236</v>
      </c>
      <c r="I72" s="2">
        <f t="shared" si="31"/>
        <v>10</v>
      </c>
      <c r="K72">
        <f t="shared" si="32"/>
        <v>534.49454908464418</v>
      </c>
      <c r="L72" s="2">
        <f t="shared" si="18"/>
        <v>25</v>
      </c>
      <c r="M72">
        <f t="shared" si="19"/>
        <v>1336.2363727116106</v>
      </c>
      <c r="O72" s="2">
        <f t="shared" si="20"/>
        <v>36</v>
      </c>
      <c r="P72">
        <f t="shared" si="21"/>
        <v>1924.180376704719</v>
      </c>
      <c r="R72" s="2">
        <f t="shared" si="25"/>
        <v>86</v>
      </c>
      <c r="S72">
        <f t="shared" si="26"/>
        <v>4596.6531221279402</v>
      </c>
      <c r="T72">
        <f t="shared" si="27"/>
        <v>15925.748273049347</v>
      </c>
      <c r="V72" s="2">
        <f t="shared" si="22"/>
        <v>61</v>
      </c>
      <c r="W72">
        <f t="shared" si="23"/>
        <v>3260.4167494163294</v>
      </c>
      <c r="Y72">
        <f t="shared" si="24"/>
        <v>11296.170286697792</v>
      </c>
    </row>
    <row r="73" spans="1:25" x14ac:dyDescent="0.25">
      <c r="A73" s="1">
        <v>71000</v>
      </c>
      <c r="B73" s="2">
        <v>182</v>
      </c>
      <c r="C73" s="2">
        <f>Table1[[#This Row],[Elev_CEM1]]-B93</f>
        <v>52</v>
      </c>
      <c r="D73">
        <f>Table1[[#This Row],[distance]]/$A$179</f>
        <v>0.40112994350282488</v>
      </c>
      <c r="E73">
        <f t="shared" si="30"/>
        <v>8.5681355932203385</v>
      </c>
      <c r="F73" s="8">
        <f t="shared" si="28"/>
        <v>6787.312871186441</v>
      </c>
      <c r="G73">
        <f t="shared" si="29"/>
        <v>6.7873128711864412</v>
      </c>
      <c r="I73" s="2">
        <f t="shared" si="31"/>
        <v>11</v>
      </c>
      <c r="K73">
        <f t="shared" si="32"/>
        <v>622.55609214026947</v>
      </c>
      <c r="L73" s="2">
        <f t="shared" ref="L73:L104" si="33">B66-B73</f>
        <v>29</v>
      </c>
      <c r="M73">
        <f t="shared" ref="M73:M104" si="34">(1000*9.81*F73*L73*0.85)/1000000</f>
        <v>1641.2842429152561</v>
      </c>
      <c r="O73" s="2">
        <f t="shared" si="20"/>
        <v>42</v>
      </c>
      <c r="P73">
        <f t="shared" si="21"/>
        <v>2377.0323518083014</v>
      </c>
      <c r="R73" s="2">
        <f t="shared" si="25"/>
        <v>90</v>
      </c>
      <c r="S73">
        <f t="shared" si="26"/>
        <v>5093.6407538749327</v>
      </c>
      <c r="T73">
        <f t="shared" si="27"/>
        <v>17647.63150150525</v>
      </c>
      <c r="V73" s="2">
        <f t="shared" si="22"/>
        <v>71</v>
      </c>
      <c r="W73">
        <f t="shared" si="23"/>
        <v>4018.316594723558</v>
      </c>
      <c r="Y73">
        <f t="shared" si="24"/>
        <v>13922.020406743028</v>
      </c>
    </row>
    <row r="74" spans="1:25" x14ac:dyDescent="0.25">
      <c r="A74" s="1">
        <v>72000</v>
      </c>
      <c r="B74" s="2">
        <v>183</v>
      </c>
      <c r="C74" s="2">
        <f>Table1[[#This Row],[Elev_CEM1]]-B94</f>
        <v>47</v>
      </c>
      <c r="D74">
        <f>Table1[[#This Row],[distance]]/$A$179</f>
        <v>0.40677966101694918</v>
      </c>
      <c r="E74">
        <f t="shared" si="30"/>
        <v>8.6888135593220337</v>
      </c>
      <c r="F74" s="8">
        <f t="shared" si="28"/>
        <v>6448.1987959322032</v>
      </c>
      <c r="G74">
        <f t="shared" si="29"/>
        <v>6.4481987959322034</v>
      </c>
      <c r="I74" s="2">
        <f t="shared" si="31"/>
        <v>11</v>
      </c>
      <c r="K74">
        <f t="shared" si="32"/>
        <v>591.45136225868737</v>
      </c>
      <c r="L74" s="2">
        <f t="shared" si="33"/>
        <v>24</v>
      </c>
      <c r="M74">
        <f t="shared" si="34"/>
        <v>1290.4393358371362</v>
      </c>
      <c r="O74" s="2">
        <f t="shared" si="20"/>
        <v>33</v>
      </c>
      <c r="P74">
        <f t="shared" si="21"/>
        <v>1774.3540867760623</v>
      </c>
      <c r="R74" s="2">
        <f t="shared" si="25"/>
        <v>80</v>
      </c>
      <c r="S74">
        <f t="shared" si="26"/>
        <v>4301.4644527904538</v>
      </c>
      <c r="T74">
        <f t="shared" si="27"/>
        <v>14903.025801715918</v>
      </c>
      <c r="V74" s="2">
        <f t="shared" si="22"/>
        <v>59</v>
      </c>
      <c r="W74">
        <f t="shared" si="23"/>
        <v>3172.3300339329599</v>
      </c>
      <c r="Y74">
        <f t="shared" si="24"/>
        <v>10990.981528765491</v>
      </c>
    </row>
    <row r="75" spans="1:25" x14ac:dyDescent="0.25">
      <c r="A75" s="1">
        <v>73000</v>
      </c>
      <c r="B75" s="2">
        <v>178</v>
      </c>
      <c r="C75" s="2">
        <f>Table1[[#This Row],[Elev_CEM1]]-B95</f>
        <v>42</v>
      </c>
      <c r="D75">
        <f>Table1[[#This Row],[distance]]/$A$179</f>
        <v>0.41242937853107342</v>
      </c>
      <c r="E75">
        <f t="shared" si="30"/>
        <v>8.8094915254237272</v>
      </c>
      <c r="F75" s="8">
        <f t="shared" si="28"/>
        <v>6243.9253322033892</v>
      </c>
      <c r="G75">
        <f t="shared" si="29"/>
        <v>6.2439253322033892</v>
      </c>
      <c r="I75" s="2">
        <f t="shared" si="31"/>
        <v>13</v>
      </c>
      <c r="K75">
        <f t="shared" si="32"/>
        <v>676.84462797351352</v>
      </c>
      <c r="L75" s="2">
        <f t="shared" si="33"/>
        <v>26</v>
      </c>
      <c r="M75">
        <f t="shared" si="34"/>
        <v>1353.6892559470268</v>
      </c>
      <c r="O75" s="2">
        <f t="shared" ref="O75:O106" si="35">B66-B75</f>
        <v>33</v>
      </c>
      <c r="P75">
        <f t="shared" ref="P75:P106" si="36">(1000*9.81*F75*O75*0.85)/1000000</f>
        <v>1718.1440556250725</v>
      </c>
      <c r="R75" s="2">
        <f t="shared" si="25"/>
        <v>82</v>
      </c>
      <c r="S75">
        <f t="shared" si="26"/>
        <v>4269.3276533713924</v>
      </c>
      <c r="T75">
        <f t="shared" si="27"/>
        <v>14791.683360976662</v>
      </c>
      <c r="V75" s="2">
        <f t="shared" si="22"/>
        <v>58</v>
      </c>
      <c r="W75">
        <f t="shared" si="23"/>
        <v>3019.7683401895215</v>
      </c>
      <c r="Y75">
        <f t="shared" si="24"/>
        <v>10462.410182154224</v>
      </c>
    </row>
    <row r="76" spans="1:25" x14ac:dyDescent="0.25">
      <c r="A76" s="1">
        <v>74000</v>
      </c>
      <c r="B76" s="2">
        <v>177</v>
      </c>
      <c r="C76" s="2">
        <f>Table1[[#This Row],[Elev_CEM1]]-B96</f>
        <v>49</v>
      </c>
      <c r="D76">
        <f>Table1[[#This Row],[distance]]/$A$179</f>
        <v>0.41807909604519772</v>
      </c>
      <c r="E76">
        <f t="shared" si="30"/>
        <v>8.9301694915254224</v>
      </c>
      <c r="F76" s="8">
        <f t="shared" si="28"/>
        <v>6180.5301193220339</v>
      </c>
      <c r="G76">
        <f t="shared" si="29"/>
        <v>6.1805301193220341</v>
      </c>
      <c r="I76" s="2">
        <f t="shared" si="31"/>
        <v>5</v>
      </c>
      <c r="K76">
        <f t="shared" si="32"/>
        <v>257.68175199983392</v>
      </c>
      <c r="L76" s="2">
        <f t="shared" si="33"/>
        <v>24</v>
      </c>
      <c r="M76">
        <f t="shared" si="34"/>
        <v>1236.8724095992027</v>
      </c>
      <c r="O76" s="2">
        <f t="shared" si="35"/>
        <v>30</v>
      </c>
      <c r="P76">
        <f t="shared" si="36"/>
        <v>1546.0905119990034</v>
      </c>
      <c r="R76" s="2">
        <f t="shared" si="25"/>
        <v>74</v>
      </c>
      <c r="S76">
        <f t="shared" si="26"/>
        <v>3813.6899295975413</v>
      </c>
      <c r="T76">
        <f t="shared" si="27"/>
        <v>13213.062677680828</v>
      </c>
      <c r="V76" s="2">
        <f t="shared" si="22"/>
        <v>51</v>
      </c>
      <c r="W76">
        <f t="shared" si="23"/>
        <v>2628.3538703983058</v>
      </c>
      <c r="Y76">
        <f t="shared" si="24"/>
        <v>9106.2999535367853</v>
      </c>
    </row>
    <row r="77" spans="1:25" x14ac:dyDescent="0.25">
      <c r="A77" s="1">
        <v>75000</v>
      </c>
      <c r="B77" s="2">
        <v>172</v>
      </c>
      <c r="C77" s="2">
        <f>Table1[[#This Row],[Elev_CEM1]]-B97</f>
        <v>48</v>
      </c>
      <c r="D77">
        <f>Table1[[#This Row],[distance]]/$A$179</f>
        <v>0.42372881355932202</v>
      </c>
      <c r="E77">
        <f t="shared" si="30"/>
        <v>9.0508474576271176</v>
      </c>
      <c r="F77" s="8">
        <f t="shared" si="28"/>
        <v>5962.1688305084754</v>
      </c>
      <c r="G77">
        <f t="shared" si="29"/>
        <v>5.9621688305084755</v>
      </c>
      <c r="I77" s="2">
        <f t="shared" si="31"/>
        <v>11</v>
      </c>
      <c r="K77">
        <f t="shared" si="32"/>
        <v>546.87099272514411</v>
      </c>
      <c r="L77" s="2">
        <f t="shared" si="33"/>
        <v>21</v>
      </c>
      <c r="M77">
        <f t="shared" si="34"/>
        <v>1044.0264406570932</v>
      </c>
      <c r="O77" s="2">
        <f t="shared" si="35"/>
        <v>32</v>
      </c>
      <c r="P77">
        <f t="shared" si="36"/>
        <v>1590.8974333822375</v>
      </c>
      <c r="R77" s="2">
        <f t="shared" si="25"/>
        <v>80</v>
      </c>
      <c r="S77">
        <f t="shared" si="26"/>
        <v>3977.2435834555931</v>
      </c>
      <c r="T77">
        <f t="shared" si="27"/>
        <v>13779.717208983588</v>
      </c>
      <c r="V77" s="2">
        <f t="shared" si="22"/>
        <v>55</v>
      </c>
      <c r="W77">
        <f t="shared" si="23"/>
        <v>2734.3549636257203</v>
      </c>
      <c r="Y77">
        <f t="shared" si="24"/>
        <v>9473.5555811762151</v>
      </c>
    </row>
    <row r="78" spans="1:25" x14ac:dyDescent="0.25">
      <c r="A78" s="1">
        <v>76000</v>
      </c>
      <c r="B78" s="2">
        <v>171</v>
      </c>
      <c r="C78" s="2">
        <f>Table1[[#This Row],[Elev_CEM1]]-B98</f>
        <v>47</v>
      </c>
      <c r="D78">
        <f>Table1[[#This Row],[distance]]/$A$179</f>
        <v>0.42937853107344631</v>
      </c>
      <c r="E78">
        <f t="shared" si="30"/>
        <v>9.1715254237288129</v>
      </c>
      <c r="F78" s="8">
        <f t="shared" si="28"/>
        <v>6194.6179444067793</v>
      </c>
      <c r="G78">
        <f t="shared" si="29"/>
        <v>6.1946179444067795</v>
      </c>
      <c r="I78" s="2">
        <f t="shared" si="31"/>
        <v>7</v>
      </c>
      <c r="K78">
        <f t="shared" si="32"/>
        <v>361.57675210605152</v>
      </c>
      <c r="L78" s="2">
        <f t="shared" si="33"/>
        <v>23</v>
      </c>
      <c r="M78">
        <f t="shared" si="34"/>
        <v>1188.0378997770265</v>
      </c>
      <c r="O78" s="2">
        <f t="shared" si="35"/>
        <v>30</v>
      </c>
      <c r="P78">
        <f t="shared" si="36"/>
        <v>1549.6146518830778</v>
      </c>
      <c r="R78" s="2">
        <f t="shared" si="25"/>
        <v>82</v>
      </c>
      <c r="S78">
        <f t="shared" si="26"/>
        <v>4235.6133818137469</v>
      </c>
      <c r="T78">
        <f t="shared" si="27"/>
        <v>14674.875547167179</v>
      </c>
      <c r="V78" s="2">
        <f t="shared" si="22"/>
        <v>53</v>
      </c>
      <c r="W78">
        <f t="shared" si="23"/>
        <v>2737.6525516601041</v>
      </c>
      <c r="Y78">
        <f t="shared" si="24"/>
        <v>9484.9805365836637</v>
      </c>
    </row>
    <row r="79" spans="1:25" x14ac:dyDescent="0.25">
      <c r="A79" s="1">
        <v>77000</v>
      </c>
      <c r="B79" s="2">
        <v>164</v>
      </c>
      <c r="C79" s="2">
        <f>Table1[[#This Row],[Elev_CEM1]]-B99</f>
        <v>46</v>
      </c>
      <c r="D79">
        <f>Table1[[#This Row],[distance]]/$A$179</f>
        <v>0.43502824858757061</v>
      </c>
      <c r="E79">
        <f t="shared" si="30"/>
        <v>9.2922033898305081</v>
      </c>
      <c r="F79" s="8">
        <f t="shared" si="28"/>
        <v>6895.9903789830514</v>
      </c>
      <c r="G79">
        <f t="shared" si="29"/>
        <v>6.8959903789830514</v>
      </c>
      <c r="I79" s="2">
        <f t="shared" si="31"/>
        <v>13</v>
      </c>
      <c r="K79">
        <f t="shared" si="32"/>
        <v>747.52880507695238</v>
      </c>
      <c r="L79" s="2">
        <f t="shared" si="33"/>
        <v>27</v>
      </c>
      <c r="M79">
        <f t="shared" si="34"/>
        <v>1552.5598259290548</v>
      </c>
      <c r="O79" s="2">
        <f t="shared" si="35"/>
        <v>29</v>
      </c>
      <c r="P79">
        <f t="shared" si="36"/>
        <v>1667.5642574793549</v>
      </c>
      <c r="R79" s="2">
        <f t="shared" si="25"/>
        <v>78</v>
      </c>
      <c r="S79">
        <f t="shared" si="26"/>
        <v>4485.1728304617136</v>
      </c>
      <c r="T79">
        <f t="shared" si="27"/>
        <v>15539.509195330871</v>
      </c>
      <c r="V79" s="2">
        <f t="shared" si="22"/>
        <v>52</v>
      </c>
      <c r="W79">
        <f t="shared" si="23"/>
        <v>2990.1152203078095</v>
      </c>
      <c r="Y79">
        <f t="shared" si="24"/>
        <v>10359.672796887251</v>
      </c>
    </row>
    <row r="80" spans="1:25" x14ac:dyDescent="0.25">
      <c r="A80" s="1">
        <v>78000</v>
      </c>
      <c r="B80" s="2">
        <v>165</v>
      </c>
      <c r="C80" s="2">
        <f>Table1[[#This Row],[Elev_CEM1]]-B100</f>
        <v>51</v>
      </c>
      <c r="D80">
        <f>Table1[[#This Row],[distance]]/$A$179</f>
        <v>0.44067796610169491</v>
      </c>
      <c r="E80">
        <f t="shared" si="30"/>
        <v>9.4128813559322033</v>
      </c>
      <c r="F80" s="8">
        <f t="shared" si="28"/>
        <v>6043.6769613559318</v>
      </c>
      <c r="G80">
        <f t="shared" si="29"/>
        <v>6.0436769613559314</v>
      </c>
      <c r="I80" s="2">
        <f t="shared" si="31"/>
        <v>7</v>
      </c>
      <c r="K80">
        <f t="shared" si="32"/>
        <v>352.7664023958651</v>
      </c>
      <c r="L80" s="2">
        <f t="shared" si="33"/>
        <v>17</v>
      </c>
      <c r="M80">
        <f t="shared" si="34"/>
        <v>856.7184058185295</v>
      </c>
      <c r="O80" s="2">
        <f t="shared" si="35"/>
        <v>29</v>
      </c>
      <c r="P80">
        <f t="shared" si="36"/>
        <v>1461.4608099257266</v>
      </c>
      <c r="R80" s="2">
        <f t="shared" si="25"/>
        <v>71</v>
      </c>
      <c r="S80">
        <f t="shared" si="26"/>
        <v>3578.0592243009173</v>
      </c>
      <c r="T80">
        <f t="shared" si="27"/>
        <v>12396.68711088193</v>
      </c>
      <c r="V80" s="2">
        <f t="shared" ref="V80:V111" si="37">B66-B80</f>
        <v>46</v>
      </c>
      <c r="W80">
        <f t="shared" ref="W80:W111" si="38">(1000*9.81*F80*V80*0.85)/1000000</f>
        <v>2318.1792157442565</v>
      </c>
      <c r="Y80">
        <f t="shared" ref="Y80:Y111" si="39">(W80*8640*0.401)/1000</f>
        <v>8031.6564380361806</v>
      </c>
    </row>
    <row r="81" spans="1:25" x14ac:dyDescent="0.25">
      <c r="A81" s="1">
        <v>79000</v>
      </c>
      <c r="B81" s="2">
        <v>163</v>
      </c>
      <c r="C81" s="2">
        <f>Table1[[#This Row],[Elev_CEM1]]-B101</f>
        <v>38</v>
      </c>
      <c r="D81">
        <f>Table1[[#This Row],[distance]]/$A$179</f>
        <v>0.4463276836158192</v>
      </c>
      <c r="E81">
        <f t="shared" si="30"/>
        <v>9.5335593220338986</v>
      </c>
      <c r="F81" s="8">
        <f t="shared" si="28"/>
        <v>5803.1776616949146</v>
      </c>
      <c r="G81">
        <f t="shared" si="29"/>
        <v>5.8031776616949147</v>
      </c>
      <c r="I81" s="2">
        <f t="shared" si="31"/>
        <v>8</v>
      </c>
      <c r="K81">
        <f t="shared" si="32"/>
        <v>387.11837545634438</v>
      </c>
      <c r="L81" s="2">
        <f t="shared" si="33"/>
        <v>20</v>
      </c>
      <c r="M81">
        <f t="shared" si="34"/>
        <v>967.79593864086075</v>
      </c>
      <c r="O81" s="2">
        <f t="shared" si="35"/>
        <v>28</v>
      </c>
      <c r="P81">
        <f t="shared" si="36"/>
        <v>1354.9143140972051</v>
      </c>
      <c r="R81" s="2">
        <f t="shared" si="25"/>
        <v>65</v>
      </c>
      <c r="S81">
        <f t="shared" si="26"/>
        <v>3145.3368005827974</v>
      </c>
      <c r="T81">
        <f t="shared" si="27"/>
        <v>10897.459692771183</v>
      </c>
      <c r="V81" s="2">
        <f t="shared" si="37"/>
        <v>44</v>
      </c>
      <c r="W81">
        <f t="shared" si="38"/>
        <v>2129.151065009894</v>
      </c>
      <c r="Y81">
        <f t="shared" si="39"/>
        <v>7376.7419458758795</v>
      </c>
    </row>
    <row r="82" spans="1:25" x14ac:dyDescent="0.25">
      <c r="A82" s="1">
        <v>80000</v>
      </c>
      <c r="B82" s="2">
        <v>153</v>
      </c>
      <c r="C82" s="2">
        <f>Table1[[#This Row],[Elev_CEM1]]-B102</f>
        <v>42</v>
      </c>
      <c r="D82">
        <f>Table1[[#This Row],[distance]]/$A$179</f>
        <v>0.4519774011299435</v>
      </c>
      <c r="E82">
        <f t="shared" si="30"/>
        <v>9.6542372881355938</v>
      </c>
      <c r="F82" s="8">
        <f t="shared" si="28"/>
        <v>6037.6393220338987</v>
      </c>
      <c r="G82">
        <f t="shared" si="29"/>
        <v>6.0376393220338986</v>
      </c>
      <c r="I82" s="2">
        <f t="shared" si="31"/>
        <v>11</v>
      </c>
      <c r="K82">
        <f t="shared" si="32"/>
        <v>553.79341035457628</v>
      </c>
      <c r="L82" s="2">
        <f t="shared" si="33"/>
        <v>25</v>
      </c>
      <c r="M82">
        <f t="shared" si="34"/>
        <v>1258.6213871694915</v>
      </c>
      <c r="O82" s="2">
        <f t="shared" si="35"/>
        <v>29</v>
      </c>
      <c r="P82">
        <f t="shared" si="36"/>
        <v>1460.0008091166103</v>
      </c>
      <c r="R82" s="2">
        <f t="shared" si="25"/>
        <v>74</v>
      </c>
      <c r="S82">
        <f t="shared" si="26"/>
        <v>3725.5193060216952</v>
      </c>
      <c r="T82">
        <f t="shared" si="27"/>
        <v>12907.583208415008</v>
      </c>
      <c r="V82" s="2">
        <f t="shared" si="37"/>
        <v>51</v>
      </c>
      <c r="W82">
        <f t="shared" si="38"/>
        <v>2567.5876298257626</v>
      </c>
      <c r="Y82">
        <f t="shared" si="39"/>
        <v>8895.7668057995306</v>
      </c>
    </row>
    <row r="83" spans="1:25" x14ac:dyDescent="0.25">
      <c r="A83" s="1">
        <v>81000</v>
      </c>
      <c r="B83" s="2">
        <v>158</v>
      </c>
      <c r="C83" s="2">
        <f>Table1[[#This Row],[Elev_CEM1]]-B103</f>
        <v>45</v>
      </c>
      <c r="D83">
        <f>Table1[[#This Row],[distance]]/$A$179</f>
        <v>0.4576271186440678</v>
      </c>
      <c r="E83">
        <f t="shared" si="30"/>
        <v>9.7749152542372872</v>
      </c>
      <c r="F83" s="8">
        <f t="shared" si="28"/>
        <v>5624.0610284745762</v>
      </c>
      <c r="G83">
        <f t="shared" si="29"/>
        <v>5.6240610284745767</v>
      </c>
      <c r="I83" s="2">
        <f t="shared" si="31"/>
        <v>7</v>
      </c>
      <c r="K83">
        <f t="shared" si="32"/>
        <v>328.27363020154678</v>
      </c>
      <c r="L83" s="2">
        <f t="shared" si="33"/>
        <v>19</v>
      </c>
      <c r="M83">
        <f t="shared" si="34"/>
        <v>891.0284248327697</v>
      </c>
      <c r="O83" s="2">
        <f t="shared" si="35"/>
        <v>25</v>
      </c>
      <c r="P83">
        <f t="shared" si="36"/>
        <v>1172.4058221483813</v>
      </c>
      <c r="R83" s="2">
        <f t="shared" si="25"/>
        <v>66</v>
      </c>
      <c r="S83">
        <f t="shared" si="26"/>
        <v>3095.1513704717263</v>
      </c>
      <c r="T83">
        <f t="shared" si="27"/>
        <v>10723.585244191163</v>
      </c>
      <c r="V83" s="2">
        <f t="shared" si="37"/>
        <v>43</v>
      </c>
      <c r="W83">
        <f t="shared" si="38"/>
        <v>2016.5380140952159</v>
      </c>
      <c r="Y83">
        <f t="shared" si="39"/>
        <v>6986.5782651548489</v>
      </c>
    </row>
    <row r="84" spans="1:25" x14ac:dyDescent="0.25">
      <c r="A84" s="1">
        <v>82000</v>
      </c>
      <c r="B84" s="2">
        <v>160</v>
      </c>
      <c r="C84" s="2">
        <f>Table1[[#This Row],[Elev_CEM1]]-B104</f>
        <v>52</v>
      </c>
      <c r="D84">
        <f>Table1[[#This Row],[distance]]/$A$179</f>
        <v>0.4632768361581921</v>
      </c>
      <c r="E84">
        <f t="shared" si="30"/>
        <v>9.8955932203389825</v>
      </c>
      <c r="F84" s="8">
        <f t="shared" si="28"/>
        <v>5280.9218603389818</v>
      </c>
      <c r="G84">
        <f t="shared" si="29"/>
        <v>5.2809218603389816</v>
      </c>
      <c r="I84" s="2">
        <f t="shared" si="31"/>
        <v>3</v>
      </c>
      <c r="K84">
        <f t="shared" si="32"/>
        <v>132.1049007973098</v>
      </c>
      <c r="L84" s="2">
        <f t="shared" si="33"/>
        <v>12</v>
      </c>
      <c r="M84">
        <f t="shared" si="34"/>
        <v>528.41960318923907</v>
      </c>
      <c r="O84" s="2">
        <f t="shared" si="35"/>
        <v>18</v>
      </c>
      <c r="P84">
        <f t="shared" si="36"/>
        <v>792.62940478385883</v>
      </c>
      <c r="R84" s="2">
        <f t="shared" si="25"/>
        <v>56</v>
      </c>
      <c r="S84">
        <f t="shared" si="26"/>
        <v>2465.9581482164494</v>
      </c>
      <c r="T84">
        <f t="shared" si="27"/>
        <v>8543.6572386366388</v>
      </c>
      <c r="V84" s="2">
        <f t="shared" si="37"/>
        <v>33</v>
      </c>
      <c r="W84">
        <f t="shared" si="38"/>
        <v>1453.1539087704077</v>
      </c>
      <c r="Y84">
        <f t="shared" si="39"/>
        <v>5034.6551584823055</v>
      </c>
    </row>
    <row r="85" spans="1:25" x14ac:dyDescent="0.25">
      <c r="A85" s="1">
        <v>83000</v>
      </c>
      <c r="B85" s="2">
        <v>149</v>
      </c>
      <c r="C85" s="2">
        <f>Table1[[#This Row],[Elev_CEM1]]-B105</f>
        <v>42</v>
      </c>
      <c r="D85">
        <f>Table1[[#This Row],[distance]]/$A$179</f>
        <v>0.46892655367231639</v>
      </c>
      <c r="E85">
        <f t="shared" si="30"/>
        <v>10.016271186440678</v>
      </c>
      <c r="F85" s="8">
        <f t="shared" si="28"/>
        <v>5595.8853783050845</v>
      </c>
      <c r="G85">
        <f t="shared" si="29"/>
        <v>5.5958853783050841</v>
      </c>
      <c r="I85" s="2">
        <f t="shared" si="31"/>
        <v>4</v>
      </c>
      <c r="K85">
        <f t="shared" si="32"/>
        <v>186.64516090798779</v>
      </c>
      <c r="L85" s="2">
        <f t="shared" si="33"/>
        <v>22</v>
      </c>
      <c r="M85">
        <f t="shared" si="34"/>
        <v>1026.5483849939328</v>
      </c>
      <c r="O85" s="2">
        <f t="shared" si="35"/>
        <v>28</v>
      </c>
      <c r="P85">
        <f t="shared" si="36"/>
        <v>1306.5161263559144</v>
      </c>
      <c r="R85" s="2">
        <f t="shared" ref="R85:R116" si="40">B66-B85</f>
        <v>62</v>
      </c>
      <c r="S85">
        <f t="shared" ref="S85:S116" si="41">(1000*9.81*F85*R85*0.85)/1000000</f>
        <v>2892.9999940738107</v>
      </c>
      <c r="T85">
        <f t="shared" ref="T85:T116" si="42">(S85*8640*0.401)/1000</f>
        <v>10023.203499467889</v>
      </c>
      <c r="V85" s="2">
        <f t="shared" si="37"/>
        <v>45</v>
      </c>
      <c r="W85">
        <f t="shared" si="38"/>
        <v>2099.7580602148628</v>
      </c>
      <c r="Y85">
        <f t="shared" si="39"/>
        <v>7274.9057657428239</v>
      </c>
    </row>
    <row r="86" spans="1:25" x14ac:dyDescent="0.25">
      <c r="A86" s="1">
        <v>84000</v>
      </c>
      <c r="B86" s="2">
        <v>156</v>
      </c>
      <c r="C86" s="2">
        <f>Table1[[#This Row],[Elev_CEM1]]-B106</f>
        <v>48</v>
      </c>
      <c r="D86">
        <f>Table1[[#This Row],[distance]]/$A$179</f>
        <v>0.47457627118644069</v>
      </c>
      <c r="E86">
        <f t="shared" si="30"/>
        <v>10.136949152542373</v>
      </c>
      <c r="F86" s="8">
        <f t="shared" ref="F86:F117" si="43">(1000*E86*C66*0.85*9.81)/1000</f>
        <v>4648.9822779661017</v>
      </c>
      <c r="G86">
        <f t="shared" ref="G86:G117" si="44">F86/1000</f>
        <v>4.6489822779661019</v>
      </c>
      <c r="I86" s="2">
        <f t="shared" si="31"/>
        <v>2</v>
      </c>
      <c r="K86">
        <f t="shared" si="32"/>
        <v>77.531077449640676</v>
      </c>
      <c r="L86" s="2">
        <f t="shared" si="33"/>
        <v>8</v>
      </c>
      <c r="M86">
        <f t="shared" si="34"/>
        <v>310.12430979856271</v>
      </c>
      <c r="O86" s="2">
        <f t="shared" si="35"/>
        <v>16</v>
      </c>
      <c r="P86">
        <f t="shared" si="36"/>
        <v>620.24861959712541</v>
      </c>
      <c r="R86" s="2">
        <f t="shared" si="40"/>
        <v>51</v>
      </c>
      <c r="S86">
        <f t="shared" si="41"/>
        <v>1977.0424749658371</v>
      </c>
      <c r="T86">
        <f t="shared" si="42"/>
        <v>6849.7404404656372</v>
      </c>
      <c r="V86" s="2">
        <f t="shared" si="37"/>
        <v>35</v>
      </c>
      <c r="W86">
        <f t="shared" si="38"/>
        <v>1356.793855368712</v>
      </c>
      <c r="Y86">
        <f t="shared" si="39"/>
        <v>4700.8022630646547</v>
      </c>
    </row>
    <row r="87" spans="1:25" x14ac:dyDescent="0.25">
      <c r="A87" s="1">
        <v>85000</v>
      </c>
      <c r="B87" s="2">
        <v>148</v>
      </c>
      <c r="C87" s="2">
        <f>Table1[[#This Row],[Elev_CEM1]]-B107</f>
        <v>45</v>
      </c>
      <c r="D87">
        <f>Table1[[#This Row],[distance]]/$A$179</f>
        <v>0.48022598870056499</v>
      </c>
      <c r="E87">
        <f t="shared" si="30"/>
        <v>10.257627118644068</v>
      </c>
      <c r="F87" s="8">
        <f t="shared" si="43"/>
        <v>5046.4602000000004</v>
      </c>
      <c r="G87">
        <f t="shared" si="44"/>
        <v>5.0464602000000003</v>
      </c>
      <c r="I87" s="2">
        <f t="shared" si="31"/>
        <v>12</v>
      </c>
      <c r="K87">
        <f t="shared" si="32"/>
        <v>504.95890053240009</v>
      </c>
      <c r="L87" s="2">
        <f t="shared" si="33"/>
        <v>17</v>
      </c>
      <c r="M87">
        <f t="shared" si="34"/>
        <v>715.35844242090013</v>
      </c>
      <c r="O87" s="2">
        <f t="shared" si="35"/>
        <v>23</v>
      </c>
      <c r="P87">
        <f t="shared" si="36"/>
        <v>967.83789268710007</v>
      </c>
      <c r="R87" s="2">
        <f t="shared" si="40"/>
        <v>56</v>
      </c>
      <c r="S87">
        <f t="shared" si="41"/>
        <v>2356.4748691512</v>
      </c>
      <c r="T87">
        <f t="shared" si="42"/>
        <v>8164.337090656014</v>
      </c>
      <c r="V87" s="2">
        <f t="shared" si="37"/>
        <v>34</v>
      </c>
      <c r="W87">
        <f t="shared" si="38"/>
        <v>1430.7168848418003</v>
      </c>
      <c r="Y87">
        <f t="shared" si="39"/>
        <v>4956.9189478982953</v>
      </c>
    </row>
    <row r="88" spans="1:25" x14ac:dyDescent="0.25">
      <c r="A88" s="1">
        <v>86000</v>
      </c>
      <c r="B88" s="2">
        <v>147</v>
      </c>
      <c r="C88" s="2">
        <f>Table1[[#This Row],[Elev_CEM1]]-B108</f>
        <v>49</v>
      </c>
      <c r="D88">
        <f>Table1[[#This Row],[distance]]/$A$179</f>
        <v>0.48587570621468928</v>
      </c>
      <c r="E88">
        <f t="shared" si="30"/>
        <v>10.378305084745763</v>
      </c>
      <c r="F88" s="8">
        <f t="shared" si="43"/>
        <v>4932.7513261016948</v>
      </c>
      <c r="G88">
        <f t="shared" si="44"/>
        <v>4.9327513261016946</v>
      </c>
      <c r="I88" s="2">
        <f t="shared" si="31"/>
        <v>2</v>
      </c>
      <c r="K88">
        <f t="shared" si="32"/>
        <v>82.263493865397962</v>
      </c>
      <c r="L88" s="2">
        <f t="shared" si="33"/>
        <v>16</v>
      </c>
      <c r="M88">
        <f t="shared" si="34"/>
        <v>658.10795092318369</v>
      </c>
      <c r="O88" s="2">
        <f t="shared" si="35"/>
        <v>17</v>
      </c>
      <c r="P88">
        <f t="shared" si="36"/>
        <v>699.2396978558827</v>
      </c>
      <c r="R88" s="2">
        <f t="shared" si="40"/>
        <v>54</v>
      </c>
      <c r="S88">
        <f t="shared" si="41"/>
        <v>2221.114334365745</v>
      </c>
      <c r="T88">
        <f t="shared" si="42"/>
        <v>7695.361567416935</v>
      </c>
      <c r="V88" s="2">
        <f t="shared" si="37"/>
        <v>36</v>
      </c>
      <c r="W88">
        <f t="shared" si="38"/>
        <v>1480.7428895771634</v>
      </c>
      <c r="Y88">
        <f t="shared" si="39"/>
        <v>5130.2410449446243</v>
      </c>
    </row>
    <row r="89" spans="1:25" x14ac:dyDescent="0.25">
      <c r="A89" s="1">
        <v>87000</v>
      </c>
      <c r="B89" s="2">
        <v>143</v>
      </c>
      <c r="C89" s="2">
        <f>Table1[[#This Row],[Elev_CEM1]]-B109</f>
        <v>47</v>
      </c>
      <c r="D89">
        <f>Table1[[#This Row],[distance]]/$A$179</f>
        <v>0.49152542372881358</v>
      </c>
      <c r="E89">
        <f t="shared" si="30"/>
        <v>10.498983050847459</v>
      </c>
      <c r="F89" s="8">
        <f t="shared" si="43"/>
        <v>5077.6546698305092</v>
      </c>
      <c r="G89">
        <f t="shared" si="44"/>
        <v>5.0776546698305092</v>
      </c>
      <c r="I89" s="2">
        <f t="shared" si="31"/>
        <v>13</v>
      </c>
      <c r="K89">
        <f t="shared" si="32"/>
        <v>550.42030503696208</v>
      </c>
      <c r="L89" s="2">
        <f t="shared" si="33"/>
        <v>10</v>
      </c>
      <c r="M89">
        <f t="shared" si="34"/>
        <v>423.40023464381699</v>
      </c>
      <c r="O89" s="2">
        <f t="shared" si="35"/>
        <v>22</v>
      </c>
      <c r="P89">
        <f t="shared" si="36"/>
        <v>931.48051621639729</v>
      </c>
      <c r="R89" s="2">
        <f t="shared" si="40"/>
        <v>50</v>
      </c>
      <c r="S89">
        <f t="shared" si="41"/>
        <v>2117.0011732190851</v>
      </c>
      <c r="T89">
        <f t="shared" si="42"/>
        <v>7334.6469447817717</v>
      </c>
      <c r="V89" s="2">
        <f t="shared" si="37"/>
        <v>35</v>
      </c>
      <c r="W89">
        <f t="shared" si="38"/>
        <v>1481.9008212533595</v>
      </c>
      <c r="Y89">
        <f t="shared" si="39"/>
        <v>5134.2528613472396</v>
      </c>
    </row>
    <row r="90" spans="1:25" x14ac:dyDescent="0.25">
      <c r="A90" s="1">
        <v>88000</v>
      </c>
      <c r="B90" s="2">
        <v>141</v>
      </c>
      <c r="C90" s="2">
        <f>Table1[[#This Row],[Elev_CEM1]]-B110</f>
        <v>34</v>
      </c>
      <c r="D90">
        <f>Table1[[#This Row],[distance]]/$A$179</f>
        <v>0.49717514124293788</v>
      </c>
      <c r="E90">
        <f t="shared" si="30"/>
        <v>10.619661016949152</v>
      </c>
      <c r="F90" s="8">
        <f t="shared" si="43"/>
        <v>4604.7062562711862</v>
      </c>
      <c r="G90">
        <f t="shared" si="44"/>
        <v>4.6047062562711867</v>
      </c>
      <c r="I90" s="2">
        <f t="shared" si="31"/>
        <v>7</v>
      </c>
      <c r="K90">
        <f t="shared" si="32"/>
        <v>268.77440182542097</v>
      </c>
      <c r="L90" s="2">
        <f t="shared" si="33"/>
        <v>17</v>
      </c>
      <c r="M90">
        <f t="shared" si="34"/>
        <v>652.73783300459388</v>
      </c>
      <c r="O90" s="2">
        <f t="shared" si="35"/>
        <v>22</v>
      </c>
      <c r="P90">
        <f t="shared" si="36"/>
        <v>844.71954859418031</v>
      </c>
      <c r="R90" s="2">
        <f t="shared" si="40"/>
        <v>53</v>
      </c>
      <c r="S90">
        <f t="shared" si="41"/>
        <v>2035.0061852496165</v>
      </c>
      <c r="T90">
        <f t="shared" si="42"/>
        <v>7050.5638296632324</v>
      </c>
      <c r="V90" s="2">
        <f t="shared" si="37"/>
        <v>36</v>
      </c>
      <c r="W90">
        <f t="shared" si="38"/>
        <v>1382.2683522450222</v>
      </c>
      <c r="Y90">
        <f t="shared" si="39"/>
        <v>4789.0622239221939</v>
      </c>
    </row>
    <row r="91" spans="1:25" x14ac:dyDescent="0.25">
      <c r="A91" s="1">
        <v>89000</v>
      </c>
      <c r="B91" s="2">
        <v>138</v>
      </c>
      <c r="C91" s="2">
        <f>Table1[[#This Row],[Elev_CEM1]]-B111</f>
        <v>48</v>
      </c>
      <c r="D91">
        <f>Table1[[#This Row],[distance]]/$A$179</f>
        <v>0.50282485875706218</v>
      </c>
      <c r="E91">
        <f t="shared" si="30"/>
        <v>10.740338983050847</v>
      </c>
      <c r="F91" s="8">
        <f t="shared" si="43"/>
        <v>5015.2657301694917</v>
      </c>
      <c r="G91">
        <f t="shared" si="44"/>
        <v>5.0152657301694914</v>
      </c>
      <c r="I91" s="2">
        <f t="shared" si="31"/>
        <v>9</v>
      </c>
      <c r="K91">
        <f t="shared" si="32"/>
        <v>376.3781396191647</v>
      </c>
      <c r="L91" s="2">
        <f t="shared" si="33"/>
        <v>22</v>
      </c>
      <c r="M91">
        <f t="shared" si="34"/>
        <v>920.03545240240248</v>
      </c>
      <c r="O91" s="2">
        <f t="shared" si="35"/>
        <v>15</v>
      </c>
      <c r="P91">
        <f t="shared" si="36"/>
        <v>627.2968993652745</v>
      </c>
      <c r="R91" s="2">
        <f t="shared" si="40"/>
        <v>53</v>
      </c>
      <c r="S91">
        <f t="shared" si="41"/>
        <v>2216.44904442397</v>
      </c>
      <c r="T91">
        <f t="shared" si="42"/>
        <v>7679.1980172730637</v>
      </c>
      <c r="V91" s="2">
        <f t="shared" si="37"/>
        <v>34</v>
      </c>
      <c r="W91">
        <f t="shared" si="38"/>
        <v>1421.8729718946224</v>
      </c>
      <c r="Y91">
        <f t="shared" si="39"/>
        <v>4926.2779733449852</v>
      </c>
    </row>
    <row r="92" spans="1:25" x14ac:dyDescent="0.25">
      <c r="A92" s="1">
        <v>90000</v>
      </c>
      <c r="B92" s="2">
        <v>144</v>
      </c>
      <c r="C92" s="2">
        <f>Table1[[#This Row],[Elev_CEM1]]-B112</f>
        <v>55</v>
      </c>
      <c r="D92">
        <f>Table1[[#This Row],[distance]]/$A$179</f>
        <v>0.50847457627118642</v>
      </c>
      <c r="E92">
        <f t="shared" si="30"/>
        <v>10.861016949152541</v>
      </c>
      <c r="F92" s="8">
        <f t="shared" si="43"/>
        <v>4256.5357220338983</v>
      </c>
      <c r="G92">
        <f t="shared" si="44"/>
        <v>4.256535722033898</v>
      </c>
      <c r="I92" s="2">
        <f t="shared" si="31"/>
        <v>-1</v>
      </c>
      <c r="K92">
        <f t="shared" si="32"/>
        <v>-35.493123118179653</v>
      </c>
      <c r="L92" s="2">
        <f t="shared" si="33"/>
        <v>5</v>
      </c>
      <c r="M92">
        <f t="shared" si="34"/>
        <v>177.4656155908983</v>
      </c>
      <c r="O92" s="2">
        <f t="shared" si="35"/>
        <v>14</v>
      </c>
      <c r="P92">
        <f t="shared" si="36"/>
        <v>496.9037236545152</v>
      </c>
      <c r="R92" s="2">
        <f t="shared" si="40"/>
        <v>38</v>
      </c>
      <c r="S92">
        <f t="shared" si="41"/>
        <v>1348.7386784908272</v>
      </c>
      <c r="T92">
        <f t="shared" si="42"/>
        <v>4672.8939750464597</v>
      </c>
      <c r="V92" s="2">
        <f t="shared" si="37"/>
        <v>27</v>
      </c>
      <c r="W92">
        <f t="shared" si="38"/>
        <v>958.31432419085081</v>
      </c>
      <c r="Y92">
        <f t="shared" si="39"/>
        <v>3320.2141401645895</v>
      </c>
    </row>
    <row r="93" spans="1:25" x14ac:dyDescent="0.25">
      <c r="A93" s="1">
        <v>91000</v>
      </c>
      <c r="B93" s="2">
        <v>130</v>
      </c>
      <c r="C93" s="2">
        <f>Table1[[#This Row],[Elev_CEM1]]-B113</f>
        <v>43</v>
      </c>
      <c r="D93">
        <f>Table1[[#This Row],[distance]]/$A$179</f>
        <v>0.51412429378531077</v>
      </c>
      <c r="E93">
        <f t="shared" si="30"/>
        <v>10.981694915254238</v>
      </c>
      <c r="F93" s="8">
        <f t="shared" si="43"/>
        <v>4761.6848786440678</v>
      </c>
      <c r="G93">
        <f t="shared" si="44"/>
        <v>4.7616848786440675</v>
      </c>
      <c r="I93" s="2">
        <f t="shared" si="31"/>
        <v>11</v>
      </c>
      <c r="K93">
        <f t="shared" si="32"/>
        <v>436.75840296630912</v>
      </c>
      <c r="L93" s="2">
        <f t="shared" si="33"/>
        <v>26</v>
      </c>
      <c r="M93">
        <f t="shared" si="34"/>
        <v>1032.3380433749126</v>
      </c>
      <c r="O93" s="2">
        <f t="shared" si="35"/>
        <v>30</v>
      </c>
      <c r="P93">
        <f t="shared" si="36"/>
        <v>1191.1592808172065</v>
      </c>
      <c r="R93" s="2">
        <f t="shared" si="40"/>
        <v>53</v>
      </c>
      <c r="S93">
        <f t="shared" si="41"/>
        <v>2104.3813961103983</v>
      </c>
      <c r="T93">
        <f t="shared" si="42"/>
        <v>7290.9239602199314</v>
      </c>
      <c r="V93" s="2">
        <f t="shared" si="37"/>
        <v>34</v>
      </c>
      <c r="W93">
        <f t="shared" si="38"/>
        <v>1349.980518259501</v>
      </c>
      <c r="Y93">
        <f t="shared" si="39"/>
        <v>4677.1965027825972</v>
      </c>
    </row>
    <row r="94" spans="1:25" x14ac:dyDescent="0.25">
      <c r="A94" s="1">
        <v>92000</v>
      </c>
      <c r="B94" s="2">
        <v>136</v>
      </c>
      <c r="C94" s="2">
        <f>Table1[[#This Row],[Elev_CEM1]]-B114</f>
        <v>43</v>
      </c>
      <c r="D94">
        <f>Table1[[#This Row],[distance]]/$A$179</f>
        <v>0.51977401129943501</v>
      </c>
      <c r="E94">
        <f t="shared" si="30"/>
        <v>11.102372881355931</v>
      </c>
      <c r="F94" s="8">
        <f t="shared" si="43"/>
        <v>4351.1254047457624</v>
      </c>
      <c r="G94">
        <f t="shared" si="44"/>
        <v>4.3511254047457619</v>
      </c>
      <c r="I94" s="2">
        <f t="shared" si="31"/>
        <v>2</v>
      </c>
      <c r="K94">
        <f t="shared" si="32"/>
        <v>72.563718374945068</v>
      </c>
      <c r="L94" s="2">
        <f t="shared" si="33"/>
        <v>12</v>
      </c>
      <c r="M94">
        <f t="shared" si="34"/>
        <v>435.38231024967052</v>
      </c>
      <c r="O94" s="2">
        <f t="shared" si="35"/>
        <v>13</v>
      </c>
      <c r="P94">
        <f t="shared" si="36"/>
        <v>471.66416943714302</v>
      </c>
      <c r="R94" s="2">
        <f t="shared" si="40"/>
        <v>42</v>
      </c>
      <c r="S94">
        <f t="shared" si="41"/>
        <v>1523.8380858738467</v>
      </c>
      <c r="T94">
        <f t="shared" si="42"/>
        <v>5279.5503858419652</v>
      </c>
      <c r="V94" s="2">
        <f t="shared" si="37"/>
        <v>29</v>
      </c>
      <c r="W94">
        <f t="shared" si="38"/>
        <v>1052.1739164367036</v>
      </c>
      <c r="Y94">
        <f t="shared" si="39"/>
        <v>3645.4038378432606</v>
      </c>
    </row>
    <row r="95" spans="1:25" x14ac:dyDescent="0.25">
      <c r="A95" s="1">
        <v>93000</v>
      </c>
      <c r="B95" s="2">
        <v>136</v>
      </c>
      <c r="C95" s="2">
        <f>Table1[[#This Row],[Elev_CEM1]]-B115</f>
        <v>43</v>
      </c>
      <c r="D95">
        <f>Table1[[#This Row],[distance]]/$A$179</f>
        <v>0.52542372881355937</v>
      </c>
      <c r="E95">
        <f t="shared" si="30"/>
        <v>11.223050847457628</v>
      </c>
      <c r="F95" s="8">
        <f t="shared" si="43"/>
        <v>3930.5031986440686</v>
      </c>
      <c r="G95">
        <f t="shared" si="44"/>
        <v>3.9305031986440686</v>
      </c>
      <c r="I95" s="2">
        <f t="shared" si="31"/>
        <v>8</v>
      </c>
      <c r="K95">
        <f t="shared" si="32"/>
        <v>262.1960073751485</v>
      </c>
      <c r="L95" s="2">
        <f t="shared" si="33"/>
        <v>11</v>
      </c>
      <c r="M95">
        <f t="shared" si="34"/>
        <v>360.5195101408292</v>
      </c>
      <c r="O95" s="2">
        <f t="shared" si="35"/>
        <v>20</v>
      </c>
      <c r="P95">
        <f t="shared" si="36"/>
        <v>655.4900184378713</v>
      </c>
      <c r="R95" s="2">
        <f t="shared" si="40"/>
        <v>41</v>
      </c>
      <c r="S95">
        <f t="shared" si="41"/>
        <v>1343.7545377976362</v>
      </c>
      <c r="T95">
        <f t="shared" si="42"/>
        <v>4655.625721835203</v>
      </c>
      <c r="V95" s="2">
        <f t="shared" si="37"/>
        <v>27</v>
      </c>
      <c r="W95">
        <f t="shared" si="38"/>
        <v>884.91152489112631</v>
      </c>
      <c r="Y95">
        <f t="shared" si="39"/>
        <v>3065.8998655987916</v>
      </c>
    </row>
    <row r="96" spans="1:25" x14ac:dyDescent="0.25">
      <c r="A96" s="1">
        <v>94000</v>
      </c>
      <c r="B96" s="2">
        <v>128</v>
      </c>
      <c r="C96" s="2">
        <f>Table1[[#This Row],[Elev_CEM1]]-B116</f>
        <v>45</v>
      </c>
      <c r="D96">
        <f>Table1[[#This Row],[distance]]/$A$179</f>
        <v>0.53107344632768361</v>
      </c>
      <c r="E96">
        <f t="shared" si="30"/>
        <v>11.343728813559322</v>
      </c>
      <c r="F96" s="8">
        <f t="shared" si="43"/>
        <v>4634.8944528813563</v>
      </c>
      <c r="G96">
        <f t="shared" si="44"/>
        <v>4.6348944528813565</v>
      </c>
      <c r="I96" s="2">
        <f t="shared" si="31"/>
        <v>2</v>
      </c>
      <c r="K96">
        <f t="shared" si="32"/>
        <v>77.296134790702382</v>
      </c>
      <c r="L96" s="2">
        <f t="shared" si="33"/>
        <v>15</v>
      </c>
      <c r="M96">
        <f t="shared" si="34"/>
        <v>579.72101093026788</v>
      </c>
      <c r="O96" s="2">
        <f t="shared" si="35"/>
        <v>20</v>
      </c>
      <c r="P96">
        <f t="shared" si="36"/>
        <v>772.96134790702376</v>
      </c>
      <c r="R96" s="2">
        <f t="shared" si="40"/>
        <v>44</v>
      </c>
      <c r="S96">
        <f t="shared" si="41"/>
        <v>1700.5149653954525</v>
      </c>
      <c r="T96">
        <f t="shared" si="42"/>
        <v>5891.672169707701</v>
      </c>
      <c r="V96" s="2">
        <f t="shared" si="37"/>
        <v>25</v>
      </c>
      <c r="W96">
        <f t="shared" si="38"/>
        <v>966.20168488377965</v>
      </c>
      <c r="Y96">
        <f t="shared" si="39"/>
        <v>3347.5410055157386</v>
      </c>
    </row>
    <row r="97" spans="1:25" x14ac:dyDescent="0.25">
      <c r="A97" s="1">
        <v>95000</v>
      </c>
      <c r="B97" s="2">
        <v>124</v>
      </c>
      <c r="C97" s="2">
        <f>Table1[[#This Row],[Elev_CEM1]]-B117</f>
        <v>41</v>
      </c>
      <c r="D97">
        <f>Table1[[#This Row],[distance]]/$A$179</f>
        <v>0.53672316384180796</v>
      </c>
      <c r="E97">
        <f t="shared" si="30"/>
        <v>11.464406779661017</v>
      </c>
      <c r="F97" s="8">
        <f t="shared" si="43"/>
        <v>4588.6058847457616</v>
      </c>
      <c r="G97">
        <f t="shared" si="44"/>
        <v>4.5886058847457614</v>
      </c>
      <c r="I97" s="2">
        <f t="shared" si="31"/>
        <v>12</v>
      </c>
      <c r="K97">
        <f t="shared" si="32"/>
        <v>459.14508203943041</v>
      </c>
      <c r="L97" s="2">
        <f t="shared" si="33"/>
        <v>17</v>
      </c>
      <c r="M97">
        <f t="shared" si="34"/>
        <v>650.45553288919302</v>
      </c>
      <c r="O97" s="2">
        <f t="shared" si="35"/>
        <v>23</v>
      </c>
      <c r="P97">
        <f t="shared" si="36"/>
        <v>880.02807390890837</v>
      </c>
      <c r="R97" s="2">
        <f t="shared" si="40"/>
        <v>47</v>
      </c>
      <c r="S97">
        <f t="shared" si="41"/>
        <v>1798.3182379877692</v>
      </c>
      <c r="T97">
        <f t="shared" si="42"/>
        <v>6230.525300061945</v>
      </c>
      <c r="V97" s="2">
        <f t="shared" si="37"/>
        <v>34</v>
      </c>
      <c r="W97">
        <f t="shared" si="38"/>
        <v>1300.911065778386</v>
      </c>
      <c r="Y97">
        <f t="shared" si="39"/>
        <v>4507.1885149384279</v>
      </c>
    </row>
    <row r="98" spans="1:25" x14ac:dyDescent="0.25">
      <c r="A98" s="1">
        <v>96000</v>
      </c>
      <c r="B98" s="2">
        <v>124</v>
      </c>
      <c r="C98" s="2">
        <f>Table1[[#This Row],[Elev_CEM1]]-B118</f>
        <v>42</v>
      </c>
      <c r="D98">
        <f>Table1[[#This Row],[distance]]/$A$179</f>
        <v>0.5423728813559322</v>
      </c>
      <c r="E98">
        <f t="shared" ref="E98:E129" si="45">21.36*D98</f>
        <v>11.585084745762712</v>
      </c>
      <c r="F98" s="8">
        <f t="shared" si="43"/>
        <v>4540.3047701694913</v>
      </c>
      <c r="G98">
        <f t="shared" si="44"/>
        <v>4.5403047701694916</v>
      </c>
      <c r="I98" s="2">
        <f t="shared" si="31"/>
        <v>12</v>
      </c>
      <c r="K98">
        <f t="shared" si="32"/>
        <v>454.31197591269967</v>
      </c>
      <c r="L98" s="2">
        <f t="shared" si="33"/>
        <v>14</v>
      </c>
      <c r="M98">
        <f t="shared" si="34"/>
        <v>530.03063856481629</v>
      </c>
      <c r="O98" s="2">
        <f t="shared" si="35"/>
        <v>19</v>
      </c>
      <c r="P98">
        <f t="shared" si="36"/>
        <v>719.32729519510781</v>
      </c>
      <c r="R98" s="2">
        <f t="shared" si="40"/>
        <v>40</v>
      </c>
      <c r="S98">
        <f t="shared" si="41"/>
        <v>1514.3732530423322</v>
      </c>
      <c r="T98">
        <f t="shared" si="42"/>
        <v>5246.7581474205863</v>
      </c>
      <c r="V98" s="2">
        <f t="shared" si="37"/>
        <v>36</v>
      </c>
      <c r="W98">
        <f t="shared" si="38"/>
        <v>1362.9359277380988</v>
      </c>
      <c r="Y98">
        <f t="shared" si="39"/>
        <v>4722.0823326785267</v>
      </c>
    </row>
    <row r="99" spans="1:25" x14ac:dyDescent="0.25">
      <c r="A99" s="1">
        <v>97000</v>
      </c>
      <c r="B99" s="2">
        <v>118</v>
      </c>
      <c r="C99" s="2">
        <f>Table1[[#This Row],[Elev_CEM1]]-B119</f>
        <v>34</v>
      </c>
      <c r="D99">
        <f>Table1[[#This Row],[distance]]/$A$179</f>
        <v>0.54802259887005644</v>
      </c>
      <c r="E99">
        <f t="shared" si="45"/>
        <v>11.705762711864406</v>
      </c>
      <c r="F99" s="8">
        <f t="shared" si="43"/>
        <v>4489.9911091525419</v>
      </c>
      <c r="G99">
        <f t="shared" si="44"/>
        <v>4.489991109152542</v>
      </c>
      <c r="I99" s="2">
        <f t="shared" si="31"/>
        <v>10</v>
      </c>
      <c r="K99">
        <f t="shared" si="32"/>
        <v>374.39790863668469</v>
      </c>
      <c r="L99" s="2">
        <f t="shared" si="33"/>
        <v>26</v>
      </c>
      <c r="M99">
        <f t="shared" si="34"/>
        <v>973.43456245538005</v>
      </c>
      <c r="O99" s="2">
        <f t="shared" si="35"/>
        <v>23</v>
      </c>
      <c r="P99">
        <f t="shared" si="36"/>
        <v>861.11518986437477</v>
      </c>
      <c r="R99" s="2">
        <f t="shared" si="40"/>
        <v>47</v>
      </c>
      <c r="S99">
        <f t="shared" si="41"/>
        <v>1759.6701705924179</v>
      </c>
      <c r="T99">
        <f t="shared" si="42"/>
        <v>6096.6236598413152</v>
      </c>
      <c r="V99" s="2">
        <f t="shared" si="37"/>
        <v>31</v>
      </c>
      <c r="W99">
        <f t="shared" si="38"/>
        <v>1160.6335167737225</v>
      </c>
      <c r="Y99">
        <f t="shared" si="39"/>
        <v>4021.1773075549099</v>
      </c>
    </row>
    <row r="100" spans="1:25" x14ac:dyDescent="0.25">
      <c r="A100" s="1">
        <v>98000</v>
      </c>
      <c r="B100" s="2">
        <v>114</v>
      </c>
      <c r="C100" s="2">
        <f>Table1[[#This Row],[Elev_CEM1]]-B120</f>
        <v>37</v>
      </c>
      <c r="D100">
        <f>Table1[[#This Row],[distance]]/$A$179</f>
        <v>0.5536723163841808</v>
      </c>
      <c r="E100">
        <f t="shared" si="45"/>
        <v>11.826440677966101</v>
      </c>
      <c r="F100" s="8">
        <f t="shared" si="43"/>
        <v>5029.353555254238</v>
      </c>
      <c r="G100">
        <f t="shared" si="44"/>
        <v>5.0293535552542377</v>
      </c>
      <c r="I100" s="2">
        <f t="shared" si="31"/>
        <v>10</v>
      </c>
      <c r="K100">
        <f t="shared" si="32"/>
        <v>419.37264620487463</v>
      </c>
      <c r="L100" s="2">
        <f t="shared" si="33"/>
        <v>16</v>
      </c>
      <c r="M100">
        <f t="shared" si="34"/>
        <v>670.99623392779938</v>
      </c>
      <c r="O100" s="2">
        <f t="shared" si="35"/>
        <v>24</v>
      </c>
      <c r="P100">
        <f t="shared" si="36"/>
        <v>1006.4943508916991</v>
      </c>
      <c r="R100" s="2">
        <f t="shared" si="40"/>
        <v>49</v>
      </c>
      <c r="S100">
        <f t="shared" si="41"/>
        <v>2054.9259664038855</v>
      </c>
      <c r="T100">
        <f t="shared" si="42"/>
        <v>7119.5787002415582</v>
      </c>
      <c r="V100" s="2">
        <f t="shared" si="37"/>
        <v>42</v>
      </c>
      <c r="W100">
        <f t="shared" si="38"/>
        <v>1761.3651140604734</v>
      </c>
      <c r="Y100">
        <f t="shared" si="39"/>
        <v>6102.4960287784788</v>
      </c>
    </row>
    <row r="101" spans="1:25" x14ac:dyDescent="0.25">
      <c r="A101" s="1">
        <v>99000</v>
      </c>
      <c r="B101" s="2">
        <v>125</v>
      </c>
      <c r="C101" s="2">
        <f>Table1[[#This Row],[Elev_CEM1]]-B121</f>
        <v>45</v>
      </c>
      <c r="D101">
        <f>Table1[[#This Row],[distance]]/$A$179</f>
        <v>0.55932203389830504</v>
      </c>
      <c r="E101">
        <f t="shared" si="45"/>
        <v>11.947118644067796</v>
      </c>
      <c r="F101" s="8">
        <f t="shared" si="43"/>
        <v>3785.5998549152537</v>
      </c>
      <c r="G101">
        <f t="shared" si="44"/>
        <v>3.7855998549152536</v>
      </c>
      <c r="I101" s="2">
        <f t="shared" ref="I101:I132" si="46">B98-B101</f>
        <v>-1</v>
      </c>
      <c r="K101">
        <f t="shared" ref="K101:K132" si="47">(1000*9.81*I101*F101*0.85)/1000000</f>
        <v>-31.566224390210841</v>
      </c>
      <c r="L101" s="2">
        <f t="shared" si="33"/>
        <v>11</v>
      </c>
      <c r="M101">
        <f t="shared" si="34"/>
        <v>347.22846829231923</v>
      </c>
      <c r="O101" s="2">
        <f t="shared" si="35"/>
        <v>19</v>
      </c>
      <c r="P101">
        <f t="shared" si="36"/>
        <v>599.75826341400602</v>
      </c>
      <c r="R101" s="2">
        <f t="shared" si="40"/>
        <v>28</v>
      </c>
      <c r="S101">
        <f t="shared" si="41"/>
        <v>883.85428292590359</v>
      </c>
      <c r="T101">
        <f t="shared" si="42"/>
        <v>3062.2369027964028</v>
      </c>
      <c r="V101" s="2">
        <f t="shared" si="37"/>
        <v>23</v>
      </c>
      <c r="W101">
        <f t="shared" si="38"/>
        <v>726.02316097484936</v>
      </c>
      <c r="Y101">
        <f t="shared" si="39"/>
        <v>2515.4088844399021</v>
      </c>
    </row>
    <row r="102" spans="1:25" x14ac:dyDescent="0.25">
      <c r="A102" s="1">
        <v>100000</v>
      </c>
      <c r="B102" s="2">
        <v>111</v>
      </c>
      <c r="C102" s="2">
        <f>Table1[[#This Row],[Elev_CEM1]]-B122</f>
        <v>33</v>
      </c>
      <c r="D102">
        <f>Table1[[#This Row],[distance]]/$A$179</f>
        <v>0.56497175141242939</v>
      </c>
      <c r="E102">
        <f t="shared" si="45"/>
        <v>12.067796610169491</v>
      </c>
      <c r="F102" s="8">
        <f t="shared" si="43"/>
        <v>4226.3475254237292</v>
      </c>
      <c r="G102">
        <f t="shared" si="44"/>
        <v>4.226347525423729</v>
      </c>
      <c r="I102" s="2">
        <f t="shared" si="46"/>
        <v>7</v>
      </c>
      <c r="K102">
        <f t="shared" si="47"/>
        <v>246.68979188522039</v>
      </c>
      <c r="L102" s="2">
        <f t="shared" si="33"/>
        <v>25</v>
      </c>
      <c r="M102">
        <f t="shared" si="34"/>
        <v>881.03497101864423</v>
      </c>
      <c r="O102" s="2">
        <f t="shared" si="35"/>
        <v>19</v>
      </c>
      <c r="P102">
        <f t="shared" si="36"/>
        <v>669.58657797416959</v>
      </c>
      <c r="R102" s="2">
        <f t="shared" si="40"/>
        <v>47</v>
      </c>
      <c r="S102">
        <f t="shared" si="41"/>
        <v>1656.345745515051</v>
      </c>
      <c r="T102">
        <f t="shared" si="42"/>
        <v>5738.6417237412661</v>
      </c>
      <c r="V102" s="2">
        <f t="shared" si="37"/>
        <v>36</v>
      </c>
      <c r="W102">
        <f t="shared" si="38"/>
        <v>1268.6903582668476</v>
      </c>
      <c r="Y102">
        <f t="shared" si="39"/>
        <v>4395.5553628656507</v>
      </c>
    </row>
    <row r="103" spans="1:25" x14ac:dyDescent="0.25">
      <c r="A103" s="1">
        <v>101000</v>
      </c>
      <c r="B103" s="2">
        <v>113</v>
      </c>
      <c r="C103" s="2">
        <f>Table1[[#This Row],[Elev_CEM1]]-B123</f>
        <v>38</v>
      </c>
      <c r="D103">
        <f>Table1[[#This Row],[distance]]/$A$179</f>
        <v>0.57062146892655363</v>
      </c>
      <c r="E103">
        <f t="shared" si="45"/>
        <v>12.188474576271185</v>
      </c>
      <c r="F103" s="8">
        <f t="shared" si="43"/>
        <v>4573.5117864406775</v>
      </c>
      <c r="G103">
        <f t="shared" si="44"/>
        <v>4.5735117864406778</v>
      </c>
      <c r="I103" s="2">
        <f t="shared" si="46"/>
        <v>1</v>
      </c>
      <c r="K103">
        <f t="shared" si="47"/>
        <v>38.136228031235589</v>
      </c>
      <c r="L103" s="2">
        <f t="shared" si="33"/>
        <v>15</v>
      </c>
      <c r="M103">
        <f t="shared" si="34"/>
        <v>572.0434204685339</v>
      </c>
      <c r="O103" s="2">
        <f t="shared" si="35"/>
        <v>23</v>
      </c>
      <c r="P103">
        <f t="shared" si="36"/>
        <v>877.13324471841861</v>
      </c>
      <c r="R103" s="2">
        <f t="shared" si="40"/>
        <v>47</v>
      </c>
      <c r="S103">
        <f t="shared" si="41"/>
        <v>1792.402717468073</v>
      </c>
      <c r="T103">
        <f t="shared" si="42"/>
        <v>6210.0301510485842</v>
      </c>
      <c r="V103" s="2">
        <f t="shared" si="37"/>
        <v>30</v>
      </c>
      <c r="W103">
        <f t="shared" si="38"/>
        <v>1144.0868409370678</v>
      </c>
      <c r="Y103">
        <f t="shared" si="39"/>
        <v>3963.8490325842031</v>
      </c>
    </row>
    <row r="104" spans="1:25" x14ac:dyDescent="0.25">
      <c r="A104" s="1">
        <v>102000</v>
      </c>
      <c r="B104" s="2">
        <v>108</v>
      </c>
      <c r="C104" s="2">
        <f>Table1[[#This Row],[Elev_CEM1]]-B124</f>
        <v>35</v>
      </c>
      <c r="D104">
        <f>Table1[[#This Row],[distance]]/$A$179</f>
        <v>0.57627118644067798</v>
      </c>
      <c r="E104">
        <f t="shared" si="45"/>
        <v>12.309152542372882</v>
      </c>
      <c r="F104" s="8">
        <f t="shared" si="43"/>
        <v>5337.2731606779653</v>
      </c>
      <c r="G104">
        <f t="shared" si="44"/>
        <v>5.3372731606779649</v>
      </c>
      <c r="I104" s="2">
        <f t="shared" si="46"/>
        <v>17</v>
      </c>
      <c r="K104">
        <f t="shared" si="47"/>
        <v>756.58248825532462</v>
      </c>
      <c r="L104" s="2">
        <f t="shared" si="33"/>
        <v>16</v>
      </c>
      <c r="M104">
        <f t="shared" si="34"/>
        <v>712.07763600501141</v>
      </c>
      <c r="O104" s="2">
        <f t="shared" si="35"/>
        <v>28</v>
      </c>
      <c r="P104">
        <f t="shared" si="36"/>
        <v>1246.13586300877</v>
      </c>
      <c r="R104" s="2">
        <f t="shared" si="40"/>
        <v>41</v>
      </c>
      <c r="S104">
        <f t="shared" si="41"/>
        <v>1824.6989422628417</v>
      </c>
      <c r="T104">
        <f t="shared" si="42"/>
        <v>6321.9249433215327</v>
      </c>
      <c r="V104" s="2">
        <f t="shared" si="37"/>
        <v>33</v>
      </c>
      <c r="W104">
        <f t="shared" si="38"/>
        <v>1468.6601242603363</v>
      </c>
      <c r="Y104">
        <f t="shared" si="39"/>
        <v>5088.3786129173322</v>
      </c>
    </row>
    <row r="105" spans="1:25" x14ac:dyDescent="0.25">
      <c r="A105" s="1">
        <v>103000</v>
      </c>
      <c r="B105" s="2">
        <v>107</v>
      </c>
      <c r="C105" s="2">
        <f>Table1[[#This Row],[Elev_CEM1]]-B125</f>
        <v>31</v>
      </c>
      <c r="D105">
        <f>Table1[[#This Row],[distance]]/$A$179</f>
        <v>0.58192090395480223</v>
      </c>
      <c r="E105">
        <f t="shared" si="45"/>
        <v>12.429830508474575</v>
      </c>
      <c r="F105" s="8">
        <f t="shared" si="43"/>
        <v>4353.1379511864407</v>
      </c>
      <c r="G105">
        <f t="shared" si="44"/>
        <v>4.353137951186441</v>
      </c>
      <c r="I105" s="2">
        <f t="shared" si="46"/>
        <v>4</v>
      </c>
      <c r="K105">
        <f t="shared" si="47"/>
        <v>145.19456322387254</v>
      </c>
      <c r="L105" s="2">
        <f t="shared" ref="L105:L136" si="48">B98-B105</f>
        <v>17</v>
      </c>
      <c r="M105">
        <f t="shared" ref="M105:M136" si="49">(1000*9.81*F105*L105*0.85)/1000000</f>
        <v>617.07689370145829</v>
      </c>
      <c r="O105" s="2">
        <f t="shared" si="35"/>
        <v>21</v>
      </c>
      <c r="P105">
        <f t="shared" si="36"/>
        <v>762.27145692533077</v>
      </c>
      <c r="R105" s="2">
        <f t="shared" si="40"/>
        <v>49</v>
      </c>
      <c r="S105">
        <f t="shared" si="41"/>
        <v>1778.6333994924385</v>
      </c>
      <c r="T105">
        <f t="shared" si="42"/>
        <v>6162.3244212174823</v>
      </c>
      <c r="V105" s="2">
        <f t="shared" si="37"/>
        <v>31</v>
      </c>
      <c r="W105">
        <f t="shared" si="38"/>
        <v>1125.2578649850122</v>
      </c>
      <c r="Y105">
        <f t="shared" si="39"/>
        <v>3898.6134093416731</v>
      </c>
    </row>
    <row r="106" spans="1:25" x14ac:dyDescent="0.25">
      <c r="A106" s="1">
        <v>104000</v>
      </c>
      <c r="B106" s="2">
        <v>108</v>
      </c>
      <c r="C106" s="2">
        <f>Table1[[#This Row],[Elev_CEM1]]-B126</f>
        <v>28</v>
      </c>
      <c r="D106">
        <f>Table1[[#This Row],[distance]]/$A$179</f>
        <v>0.58757062146892658</v>
      </c>
      <c r="E106">
        <f t="shared" si="45"/>
        <v>12.550508474576272</v>
      </c>
      <c r="F106" s="8">
        <f t="shared" si="43"/>
        <v>5023.3159159322049</v>
      </c>
      <c r="G106">
        <f t="shared" si="44"/>
        <v>5.0233159159322049</v>
      </c>
      <c r="I106" s="2">
        <f t="shared" si="46"/>
        <v>5</v>
      </c>
      <c r="K106">
        <f t="shared" si="47"/>
        <v>209.43459882500343</v>
      </c>
      <c r="L106" s="2">
        <f t="shared" si="48"/>
        <v>10</v>
      </c>
      <c r="M106">
        <f t="shared" si="49"/>
        <v>418.86919765000687</v>
      </c>
      <c r="O106" s="2">
        <f t="shared" si="35"/>
        <v>16</v>
      </c>
      <c r="P106">
        <f t="shared" si="36"/>
        <v>670.19071624001094</v>
      </c>
      <c r="R106" s="2">
        <f t="shared" si="40"/>
        <v>40</v>
      </c>
      <c r="S106">
        <f t="shared" si="41"/>
        <v>1675.4767906000275</v>
      </c>
      <c r="T106">
        <f t="shared" si="42"/>
        <v>5804.9239077844795</v>
      </c>
      <c r="V106" s="2">
        <f t="shared" si="37"/>
        <v>36</v>
      </c>
      <c r="W106">
        <f t="shared" si="38"/>
        <v>1507.9291115400247</v>
      </c>
      <c r="Y106">
        <f t="shared" si="39"/>
        <v>5224.4315170060318</v>
      </c>
    </row>
    <row r="107" spans="1:25" x14ac:dyDescent="0.25">
      <c r="A107" s="1">
        <v>105000</v>
      </c>
      <c r="B107" s="2">
        <v>103</v>
      </c>
      <c r="C107" s="2">
        <f>Table1[[#This Row],[Elev_CEM1]]-B127</f>
        <v>33</v>
      </c>
      <c r="D107">
        <f>Table1[[#This Row],[distance]]/$A$179</f>
        <v>0.59322033898305082</v>
      </c>
      <c r="E107">
        <f t="shared" si="45"/>
        <v>12.671186440677966</v>
      </c>
      <c r="F107" s="8">
        <f t="shared" si="43"/>
        <v>4754.6409661016951</v>
      </c>
      <c r="G107">
        <f t="shared" si="44"/>
        <v>4.7546409661016948</v>
      </c>
      <c r="I107" s="2">
        <f t="shared" si="46"/>
        <v>5</v>
      </c>
      <c r="K107">
        <f t="shared" si="47"/>
        <v>198.23286847919493</v>
      </c>
      <c r="L107" s="2">
        <f t="shared" si="48"/>
        <v>11</v>
      </c>
      <c r="M107">
        <f t="shared" si="49"/>
        <v>436.11231065422874</v>
      </c>
      <c r="O107" s="2">
        <f t="shared" ref="O107:O138" si="50">B98-B107</f>
        <v>21</v>
      </c>
      <c r="P107">
        <f t="shared" ref="P107:P138" si="51">(1000*9.81*F107*O107*0.85)/1000000</f>
        <v>832.57804761261855</v>
      </c>
      <c r="R107" s="2">
        <f t="shared" si="40"/>
        <v>44</v>
      </c>
      <c r="S107">
        <f t="shared" si="41"/>
        <v>1744.4492426169149</v>
      </c>
      <c r="T107">
        <f t="shared" si="42"/>
        <v>6043.8886239402682</v>
      </c>
      <c r="V107" s="2">
        <f t="shared" si="37"/>
        <v>27</v>
      </c>
      <c r="W107">
        <f t="shared" si="38"/>
        <v>1070.4574897876525</v>
      </c>
      <c r="Y107">
        <f t="shared" si="39"/>
        <v>3708.7498374178926</v>
      </c>
    </row>
    <row r="108" spans="1:25" x14ac:dyDescent="0.25">
      <c r="A108" s="1">
        <v>106000</v>
      </c>
      <c r="B108" s="2">
        <v>98</v>
      </c>
      <c r="C108" s="2">
        <f>Table1[[#This Row],[Elev_CEM1]]-B128</f>
        <v>22</v>
      </c>
      <c r="D108">
        <f>Table1[[#This Row],[distance]]/$A$179</f>
        <v>0.59887005649717517</v>
      </c>
      <c r="E108">
        <f t="shared" si="45"/>
        <v>12.791864406779661</v>
      </c>
      <c r="F108" s="8">
        <f t="shared" si="43"/>
        <v>5226.5831064406775</v>
      </c>
      <c r="G108">
        <f t="shared" si="44"/>
        <v>5.2265831064406774</v>
      </c>
      <c r="I108" s="2">
        <f t="shared" si="46"/>
        <v>9</v>
      </c>
      <c r="K108">
        <f t="shared" si="47"/>
        <v>392.23676909750031</v>
      </c>
      <c r="L108" s="2">
        <f t="shared" si="48"/>
        <v>27</v>
      </c>
      <c r="M108">
        <f t="shared" si="49"/>
        <v>1176.7103072925011</v>
      </c>
      <c r="O108" s="2">
        <f t="shared" si="50"/>
        <v>20</v>
      </c>
      <c r="P108">
        <f t="shared" si="51"/>
        <v>871.63726466111189</v>
      </c>
      <c r="R108" s="2">
        <f t="shared" si="40"/>
        <v>45</v>
      </c>
      <c r="S108">
        <f t="shared" si="41"/>
        <v>1961.1838454875017</v>
      </c>
      <c r="T108">
        <f t="shared" si="42"/>
        <v>6794.7959984298177</v>
      </c>
      <c r="V108" s="2">
        <f t="shared" si="37"/>
        <v>38</v>
      </c>
      <c r="W108">
        <f t="shared" si="38"/>
        <v>1656.1108028561125</v>
      </c>
      <c r="Y108">
        <f t="shared" si="39"/>
        <v>5737.8277320074021</v>
      </c>
    </row>
    <row r="109" spans="1:25" x14ac:dyDescent="0.25">
      <c r="A109" s="1">
        <v>107000</v>
      </c>
      <c r="B109" s="2">
        <v>96</v>
      </c>
      <c r="C109" s="2">
        <f>Table1[[#This Row],[Elev_CEM1]]-B129</f>
        <v>24</v>
      </c>
      <c r="D109">
        <f>Table1[[#This Row],[distance]]/$A$179</f>
        <v>0.60451977401129942</v>
      </c>
      <c r="E109">
        <f t="shared" si="45"/>
        <v>12.912542372881354</v>
      </c>
      <c r="F109" s="8">
        <f t="shared" si="43"/>
        <v>5060.5480250847449</v>
      </c>
      <c r="G109">
        <f t="shared" si="44"/>
        <v>5.0605480250847448</v>
      </c>
      <c r="I109" s="2">
        <f t="shared" si="46"/>
        <v>12</v>
      </c>
      <c r="K109">
        <f t="shared" si="47"/>
        <v>506.36855648602972</v>
      </c>
      <c r="L109" s="2">
        <f t="shared" si="48"/>
        <v>15</v>
      </c>
      <c r="M109">
        <f t="shared" si="49"/>
        <v>632.9606956075371</v>
      </c>
      <c r="O109" s="2">
        <f t="shared" si="50"/>
        <v>18</v>
      </c>
      <c r="P109">
        <f t="shared" si="51"/>
        <v>759.55283472904455</v>
      </c>
      <c r="R109" s="2">
        <f t="shared" si="40"/>
        <v>45</v>
      </c>
      <c r="S109">
        <f t="shared" si="41"/>
        <v>1898.8820868226117</v>
      </c>
      <c r="T109">
        <f t="shared" si="42"/>
        <v>6578.9428332890939</v>
      </c>
      <c r="V109" s="2">
        <f t="shared" si="37"/>
        <v>40</v>
      </c>
      <c r="W109">
        <f t="shared" si="38"/>
        <v>1687.8951882867659</v>
      </c>
      <c r="Y109">
        <f t="shared" si="39"/>
        <v>5847.9491851458615</v>
      </c>
    </row>
    <row r="110" spans="1:25" x14ac:dyDescent="0.25">
      <c r="A110" s="1">
        <v>108000</v>
      </c>
      <c r="B110" s="2">
        <v>107</v>
      </c>
      <c r="C110" s="2">
        <f>Table1[[#This Row],[Elev_CEM1]]-B130</f>
        <v>39</v>
      </c>
      <c r="D110">
        <f>Table1[[#This Row],[distance]]/$A$179</f>
        <v>0.61016949152542377</v>
      </c>
      <c r="E110">
        <f t="shared" si="45"/>
        <v>13.033220338983051</v>
      </c>
      <c r="F110" s="8">
        <f t="shared" si="43"/>
        <v>3695.0352650847458</v>
      </c>
      <c r="G110">
        <f t="shared" si="44"/>
        <v>3.695035265084746</v>
      </c>
      <c r="I110" s="2">
        <f t="shared" si="46"/>
        <v>-4</v>
      </c>
      <c r="K110">
        <f t="shared" si="47"/>
        <v>-123.2442062316366</v>
      </c>
      <c r="L110" s="2">
        <f t="shared" si="48"/>
        <v>6</v>
      </c>
      <c r="M110">
        <f t="shared" si="49"/>
        <v>184.86630934745492</v>
      </c>
      <c r="O110" s="2">
        <f t="shared" si="50"/>
        <v>18</v>
      </c>
      <c r="P110">
        <f t="shared" si="51"/>
        <v>554.59892804236472</v>
      </c>
      <c r="R110" s="2">
        <f t="shared" si="40"/>
        <v>31</v>
      </c>
      <c r="S110">
        <f t="shared" si="41"/>
        <v>955.14259829518369</v>
      </c>
      <c r="T110">
        <f t="shared" si="42"/>
        <v>3309.2252517574252</v>
      </c>
      <c r="V110" s="2">
        <f t="shared" si="37"/>
        <v>21</v>
      </c>
      <c r="W110">
        <f t="shared" si="38"/>
        <v>647.03208271609219</v>
      </c>
      <c r="Y110">
        <f t="shared" si="39"/>
        <v>2241.7332350614815</v>
      </c>
    </row>
    <row r="111" spans="1:25" x14ac:dyDescent="0.25">
      <c r="A111" s="1">
        <v>109000</v>
      </c>
      <c r="B111" s="2">
        <v>90</v>
      </c>
      <c r="C111" s="2">
        <f>Table1[[#This Row],[Elev_CEM1]]-B131</f>
        <v>23</v>
      </c>
      <c r="D111">
        <f>Table1[[#This Row],[distance]]/$A$179</f>
        <v>0.61581920903954801</v>
      </c>
      <c r="E111">
        <f t="shared" si="45"/>
        <v>13.153898305084745</v>
      </c>
      <c r="F111" s="8">
        <f t="shared" si="43"/>
        <v>5264.8214888135599</v>
      </c>
      <c r="G111">
        <f t="shared" si="44"/>
        <v>5.2648214888135598</v>
      </c>
      <c r="I111" s="2">
        <f t="shared" si="46"/>
        <v>8</v>
      </c>
      <c r="K111">
        <f t="shared" si="47"/>
        <v>351.20571187577491</v>
      </c>
      <c r="L111" s="2">
        <f t="shared" si="48"/>
        <v>18</v>
      </c>
      <c r="M111">
        <f t="shared" si="49"/>
        <v>790.21285172049363</v>
      </c>
      <c r="O111" s="2">
        <f t="shared" si="50"/>
        <v>21</v>
      </c>
      <c r="P111">
        <f t="shared" si="51"/>
        <v>921.91499367390918</v>
      </c>
      <c r="R111" s="2">
        <f t="shared" si="40"/>
        <v>54</v>
      </c>
      <c r="S111">
        <f t="shared" si="41"/>
        <v>2370.6385551614808</v>
      </c>
      <c r="T111">
        <f t="shared" si="42"/>
        <v>8213.4091637546735</v>
      </c>
      <c r="V111" s="2">
        <f t="shared" si="37"/>
        <v>34</v>
      </c>
      <c r="W111">
        <f t="shared" si="38"/>
        <v>1492.6242754720436</v>
      </c>
      <c r="Y111">
        <f t="shared" si="39"/>
        <v>5171.4057697714616</v>
      </c>
    </row>
    <row r="112" spans="1:25" x14ac:dyDescent="0.25">
      <c r="A112" s="1">
        <v>110000</v>
      </c>
      <c r="B112" s="2">
        <v>89</v>
      </c>
      <c r="C112" s="2">
        <f>Table1[[#This Row],[Elev_CEM1]]-B132</f>
        <v>26</v>
      </c>
      <c r="D112">
        <f>Table1[[#This Row],[distance]]/$A$179</f>
        <v>0.62146892655367236</v>
      </c>
      <c r="E112">
        <f t="shared" si="45"/>
        <v>13.274576271186442</v>
      </c>
      <c r="F112" s="8">
        <f t="shared" si="43"/>
        <v>6087.9529830508491</v>
      </c>
      <c r="G112">
        <f t="shared" si="44"/>
        <v>6.0879529830508492</v>
      </c>
      <c r="I112" s="2">
        <f t="shared" si="46"/>
        <v>7</v>
      </c>
      <c r="K112">
        <f t="shared" si="47"/>
        <v>355.35077164418658</v>
      </c>
      <c r="L112" s="2">
        <f t="shared" si="48"/>
        <v>18</v>
      </c>
      <c r="M112">
        <f t="shared" si="49"/>
        <v>913.75912708505109</v>
      </c>
      <c r="O112" s="2">
        <f t="shared" si="50"/>
        <v>24</v>
      </c>
      <c r="P112">
        <f t="shared" si="51"/>
        <v>1218.3455027800683</v>
      </c>
      <c r="R112" s="2">
        <f t="shared" si="40"/>
        <v>41</v>
      </c>
      <c r="S112">
        <f t="shared" si="41"/>
        <v>2081.3402339159497</v>
      </c>
      <c r="T112">
        <f t="shared" si="42"/>
        <v>7211.094628034557</v>
      </c>
      <c r="V112" s="2">
        <f t="shared" ref="V112:V143" si="52">B98-B112</f>
        <v>35</v>
      </c>
      <c r="W112">
        <f t="shared" ref="W112:W143" si="53">(1000*9.81*F112*V112*0.85)/1000000</f>
        <v>1776.7538582209327</v>
      </c>
      <c r="Y112">
        <f t="shared" ref="Y112:Y143" si="54">(W112*8640*0.401)/1000</f>
        <v>6155.8124873465731</v>
      </c>
    </row>
    <row r="113" spans="1:25" x14ac:dyDescent="0.25">
      <c r="A113" s="1">
        <v>111000</v>
      </c>
      <c r="B113" s="2">
        <v>87</v>
      </c>
      <c r="C113" s="2">
        <f>Table1[[#This Row],[Elev_CEM1]]-B133</f>
        <v>16</v>
      </c>
      <c r="D113">
        <f>Table1[[#This Row],[distance]]/$A$179</f>
        <v>0.6271186440677966</v>
      </c>
      <c r="E113">
        <f t="shared" si="45"/>
        <v>13.395254237288135</v>
      </c>
      <c r="F113" s="8">
        <f t="shared" si="43"/>
        <v>4802.9420806779654</v>
      </c>
      <c r="G113">
        <f t="shared" si="44"/>
        <v>4.8029420806779655</v>
      </c>
      <c r="I113" s="2">
        <f t="shared" si="46"/>
        <v>20</v>
      </c>
      <c r="K113">
        <f t="shared" si="47"/>
        <v>800.98665079466423</v>
      </c>
      <c r="L113" s="2">
        <f t="shared" si="48"/>
        <v>21</v>
      </c>
      <c r="M113">
        <f t="shared" si="49"/>
        <v>841.03598333439743</v>
      </c>
      <c r="O113" s="2">
        <f t="shared" si="50"/>
        <v>21</v>
      </c>
      <c r="P113">
        <f t="shared" si="51"/>
        <v>841.03598333439743</v>
      </c>
      <c r="R113" s="2">
        <f t="shared" si="40"/>
        <v>49</v>
      </c>
      <c r="S113">
        <f t="shared" si="41"/>
        <v>1962.4172944469276</v>
      </c>
      <c r="T113">
        <f t="shared" si="42"/>
        <v>6799.0694550326025</v>
      </c>
      <c r="V113" s="2">
        <f t="shared" si="52"/>
        <v>31</v>
      </c>
      <c r="W113">
        <f t="shared" si="53"/>
        <v>1241.5293087317295</v>
      </c>
      <c r="Y113">
        <f t="shared" si="54"/>
        <v>4301.4521042042998</v>
      </c>
    </row>
    <row r="114" spans="1:25" x14ac:dyDescent="0.25">
      <c r="A114" s="1">
        <v>112000</v>
      </c>
      <c r="B114" s="2">
        <v>93</v>
      </c>
      <c r="C114" s="2">
        <f>Table1[[#This Row],[Elev_CEM1]]-B134</f>
        <v>25</v>
      </c>
      <c r="D114">
        <f>Table1[[#This Row],[distance]]/$A$179</f>
        <v>0.63276836158192096</v>
      </c>
      <c r="E114">
        <f t="shared" si="45"/>
        <v>13.515932203389831</v>
      </c>
      <c r="F114" s="8">
        <f t="shared" si="43"/>
        <v>4846.2118291525412</v>
      </c>
      <c r="G114">
        <f t="shared" si="44"/>
        <v>4.8462118291525416</v>
      </c>
      <c r="I114" s="2">
        <f t="shared" si="46"/>
        <v>-3</v>
      </c>
      <c r="K114">
        <f t="shared" si="47"/>
        <v>-121.2304120121654</v>
      </c>
      <c r="L114" s="2">
        <f t="shared" si="48"/>
        <v>10</v>
      </c>
      <c r="M114">
        <f t="shared" si="49"/>
        <v>404.10137337388466</v>
      </c>
      <c r="O114" s="2">
        <f t="shared" si="50"/>
        <v>14</v>
      </c>
      <c r="P114">
        <f t="shared" si="51"/>
        <v>565.74192272343851</v>
      </c>
      <c r="R114" s="2">
        <f t="shared" si="40"/>
        <v>43</v>
      </c>
      <c r="S114">
        <f t="shared" si="41"/>
        <v>1737.6359055077039</v>
      </c>
      <c r="T114">
        <f t="shared" si="42"/>
        <v>6020.2828636582108</v>
      </c>
      <c r="V114" s="2">
        <f t="shared" si="52"/>
        <v>21</v>
      </c>
      <c r="W114">
        <f t="shared" si="53"/>
        <v>848.61288408515782</v>
      </c>
      <c r="Y114">
        <f t="shared" si="54"/>
        <v>2940.1381427168012</v>
      </c>
    </row>
    <row r="115" spans="1:25" x14ac:dyDescent="0.25">
      <c r="A115" s="1">
        <v>113000</v>
      </c>
      <c r="B115" s="2">
        <v>93</v>
      </c>
      <c r="C115" s="2">
        <f>Table1[[#This Row],[Elev_CEM1]]-B135</f>
        <v>19</v>
      </c>
      <c r="D115">
        <f>Table1[[#This Row],[distance]]/$A$179</f>
        <v>0.6384180790960452</v>
      </c>
      <c r="E115">
        <f t="shared" si="45"/>
        <v>13.636610169491526</v>
      </c>
      <c r="F115" s="8">
        <f t="shared" si="43"/>
        <v>4889.4815776271189</v>
      </c>
      <c r="G115">
        <f t="shared" si="44"/>
        <v>4.8894815776271185</v>
      </c>
      <c r="I115" s="2">
        <f t="shared" si="46"/>
        <v>-4</v>
      </c>
      <c r="K115">
        <f t="shared" si="47"/>
        <v>-163.0837685401749</v>
      </c>
      <c r="L115" s="2">
        <f t="shared" si="48"/>
        <v>5</v>
      </c>
      <c r="M115">
        <f t="shared" si="49"/>
        <v>203.85471067521866</v>
      </c>
      <c r="O115" s="2">
        <f t="shared" si="50"/>
        <v>15</v>
      </c>
      <c r="P115">
        <f t="shared" si="51"/>
        <v>611.56413202565591</v>
      </c>
      <c r="R115" s="2">
        <f t="shared" si="40"/>
        <v>35</v>
      </c>
      <c r="S115">
        <f t="shared" si="41"/>
        <v>1426.9829747265303</v>
      </c>
      <c r="T115">
        <f t="shared" si="42"/>
        <v>4943.9822935565262</v>
      </c>
      <c r="V115" s="2">
        <f t="shared" si="52"/>
        <v>32</v>
      </c>
      <c r="W115">
        <f t="shared" si="53"/>
        <v>1304.6701483213992</v>
      </c>
      <c r="Y115">
        <f t="shared" si="54"/>
        <v>4520.2123826802526</v>
      </c>
    </row>
    <row r="116" spans="1:25" x14ac:dyDescent="0.25">
      <c r="A116" s="1">
        <v>114000</v>
      </c>
      <c r="B116" s="2">
        <v>83</v>
      </c>
      <c r="C116" s="2">
        <f>Table1[[#This Row],[Elev_CEM1]]-B136</f>
        <v>14</v>
      </c>
      <c r="D116">
        <f>Table1[[#This Row],[distance]]/$A$179</f>
        <v>0.64406779661016944</v>
      </c>
      <c r="E116">
        <f t="shared" si="45"/>
        <v>13.757288135593219</v>
      </c>
      <c r="F116" s="8">
        <f t="shared" si="43"/>
        <v>5162.1816203389826</v>
      </c>
      <c r="G116">
        <f t="shared" si="44"/>
        <v>5.1621816203389823</v>
      </c>
      <c r="I116" s="2">
        <f t="shared" si="46"/>
        <v>4</v>
      </c>
      <c r="K116">
        <f t="shared" si="47"/>
        <v>172.17940576478642</v>
      </c>
      <c r="L116" s="2">
        <f t="shared" si="48"/>
        <v>13</v>
      </c>
      <c r="M116">
        <f t="shared" si="49"/>
        <v>559.58306873555591</v>
      </c>
      <c r="O116" s="2">
        <f t="shared" si="50"/>
        <v>20</v>
      </c>
      <c r="P116">
        <f t="shared" si="51"/>
        <v>860.89702882393215</v>
      </c>
      <c r="R116" s="2">
        <f t="shared" si="40"/>
        <v>41</v>
      </c>
      <c r="S116">
        <f t="shared" si="41"/>
        <v>1764.838909089061</v>
      </c>
      <c r="T116">
        <f t="shared" si="42"/>
        <v>6114.5314779863247</v>
      </c>
      <c r="V116" s="2">
        <f t="shared" si="52"/>
        <v>28</v>
      </c>
      <c r="W116">
        <f t="shared" si="53"/>
        <v>1205.2558403535052</v>
      </c>
      <c r="Y116">
        <f t="shared" si="54"/>
        <v>4175.7775947223681</v>
      </c>
    </row>
    <row r="117" spans="1:25" x14ac:dyDescent="0.25">
      <c r="A117" s="1">
        <v>115000</v>
      </c>
      <c r="B117" s="2">
        <v>83</v>
      </c>
      <c r="C117" s="2">
        <f>Table1[[#This Row],[Elev_CEM1]]-B137</f>
        <v>17</v>
      </c>
      <c r="D117">
        <f>Table1[[#This Row],[distance]]/$A$179</f>
        <v>0.64971751412429379</v>
      </c>
      <c r="E117">
        <f t="shared" si="45"/>
        <v>13.877966101694915</v>
      </c>
      <c r="F117" s="8">
        <f t="shared" si="43"/>
        <v>4744.5782338983054</v>
      </c>
      <c r="G117">
        <f t="shared" si="44"/>
        <v>4.7445782338983058</v>
      </c>
      <c r="I117" s="2">
        <f t="shared" si="46"/>
        <v>10</v>
      </c>
      <c r="K117">
        <f t="shared" si="47"/>
        <v>395.62665603361017</v>
      </c>
      <c r="L117" s="2">
        <f t="shared" si="48"/>
        <v>24</v>
      </c>
      <c r="M117">
        <f t="shared" si="49"/>
        <v>949.50397448066451</v>
      </c>
      <c r="O117" s="2">
        <f t="shared" si="50"/>
        <v>15</v>
      </c>
      <c r="P117">
        <f t="shared" si="51"/>
        <v>593.43998405041532</v>
      </c>
      <c r="R117" s="2">
        <f t="shared" ref="R117:R148" si="55">B98-B117</f>
        <v>41</v>
      </c>
      <c r="S117">
        <f t="shared" ref="S117:S148" si="56">(1000*9.81*F117*R117*0.85)/1000000</f>
        <v>1622.0692897378017</v>
      </c>
      <c r="T117">
        <f t="shared" ref="T117:T148" si="57">(S117*8640*0.401)/1000</f>
        <v>5619.8861439971779</v>
      </c>
      <c r="V117" s="2">
        <f t="shared" si="52"/>
        <v>30</v>
      </c>
      <c r="W117">
        <f t="shared" si="53"/>
        <v>1186.8799681008306</v>
      </c>
      <c r="Y117">
        <f t="shared" si="54"/>
        <v>4112.1118126808615</v>
      </c>
    </row>
    <row r="118" spans="1:25" x14ac:dyDescent="0.25">
      <c r="A118" s="1">
        <v>116000</v>
      </c>
      <c r="B118" s="2">
        <v>82</v>
      </c>
      <c r="C118" s="2">
        <f>Table1[[#This Row],[Elev_CEM1]]-B138</f>
        <v>16</v>
      </c>
      <c r="D118">
        <f>Table1[[#This Row],[distance]]/$A$179</f>
        <v>0.65536723163841804</v>
      </c>
      <c r="E118">
        <f t="shared" si="45"/>
        <v>13.99864406779661</v>
      </c>
      <c r="F118" s="8">
        <f t="shared" ref="F118:F149" si="58">(1000*E118*C98*0.85*9.81)/1000</f>
        <v>4902.5631294915247</v>
      </c>
      <c r="G118">
        <f t="shared" ref="G118:G149" si="59">F118/1000</f>
        <v>4.9025631294915248</v>
      </c>
      <c r="I118" s="2">
        <f t="shared" si="46"/>
        <v>11</v>
      </c>
      <c r="K118">
        <f t="shared" si="47"/>
        <v>449.68024920791584</v>
      </c>
      <c r="L118" s="2">
        <f t="shared" si="48"/>
        <v>8</v>
      </c>
      <c r="M118">
        <f t="shared" si="49"/>
        <v>327.04018124212064</v>
      </c>
      <c r="O118" s="2">
        <f t="shared" si="50"/>
        <v>14</v>
      </c>
      <c r="P118">
        <f t="shared" si="51"/>
        <v>572.32031717371103</v>
      </c>
      <c r="R118" s="2">
        <f t="shared" si="55"/>
        <v>36</v>
      </c>
      <c r="S118">
        <f t="shared" si="56"/>
        <v>1471.6808155895428</v>
      </c>
      <c r="T118">
        <f t="shared" si="57"/>
        <v>5098.8442209241539</v>
      </c>
      <c r="V118" s="2">
        <f t="shared" si="52"/>
        <v>26</v>
      </c>
      <c r="W118">
        <f t="shared" si="53"/>
        <v>1062.8805890368922</v>
      </c>
      <c r="Y118">
        <f t="shared" si="54"/>
        <v>3682.498604000778</v>
      </c>
    </row>
    <row r="119" spans="1:25" x14ac:dyDescent="0.25">
      <c r="A119" s="1">
        <v>117000</v>
      </c>
      <c r="B119" s="2">
        <v>84</v>
      </c>
      <c r="C119" s="2">
        <f>Table1[[#This Row],[Elev_CEM1]]-B139</f>
        <v>18</v>
      </c>
      <c r="D119">
        <f>Table1[[#This Row],[distance]]/$A$179</f>
        <v>0.66101694915254239</v>
      </c>
      <c r="E119">
        <f t="shared" si="45"/>
        <v>14.119322033898305</v>
      </c>
      <c r="F119" s="8">
        <f t="shared" si="58"/>
        <v>4002.9548705084744</v>
      </c>
      <c r="G119">
        <f t="shared" si="59"/>
        <v>4.0029548705084741</v>
      </c>
      <c r="I119" s="2">
        <f t="shared" si="46"/>
        <v>-1</v>
      </c>
      <c r="K119">
        <f t="shared" si="47"/>
        <v>-33.378639187734912</v>
      </c>
      <c r="L119" s="2">
        <f t="shared" si="48"/>
        <v>5</v>
      </c>
      <c r="M119">
        <f t="shared" si="49"/>
        <v>166.89319593867458</v>
      </c>
      <c r="O119" s="2">
        <f t="shared" si="50"/>
        <v>23</v>
      </c>
      <c r="P119">
        <f t="shared" si="51"/>
        <v>767.70870131790309</v>
      </c>
      <c r="R119" s="2">
        <f t="shared" si="55"/>
        <v>30</v>
      </c>
      <c r="S119">
        <f t="shared" si="56"/>
        <v>1001.3591756320474</v>
      </c>
      <c r="T119">
        <f t="shared" si="57"/>
        <v>3469.3490542618169</v>
      </c>
      <c r="V119" s="2">
        <f t="shared" si="52"/>
        <v>23</v>
      </c>
      <c r="W119">
        <f t="shared" si="53"/>
        <v>767.70870131790309</v>
      </c>
      <c r="Y119">
        <f t="shared" si="54"/>
        <v>2659.83427493406</v>
      </c>
    </row>
    <row r="120" spans="1:25" x14ac:dyDescent="0.25">
      <c r="A120" s="1">
        <v>118000</v>
      </c>
      <c r="B120" s="2">
        <v>77</v>
      </c>
      <c r="C120" s="2">
        <f>Table1[[#This Row],[Elev_CEM1]]-B140</f>
        <v>15</v>
      </c>
      <c r="D120">
        <f>Table1[[#This Row],[distance]]/$A$179</f>
        <v>0.66666666666666663</v>
      </c>
      <c r="E120">
        <f t="shared" si="45"/>
        <v>14.239999999999998</v>
      </c>
      <c r="F120" s="8">
        <f t="shared" si="58"/>
        <v>4393.3888799999986</v>
      </c>
      <c r="G120">
        <f t="shared" si="59"/>
        <v>4.3933888799999989</v>
      </c>
      <c r="I120" s="2">
        <f t="shared" si="46"/>
        <v>6</v>
      </c>
      <c r="K120">
        <f t="shared" si="47"/>
        <v>219.8056390552799</v>
      </c>
      <c r="L120" s="2">
        <f t="shared" si="48"/>
        <v>10</v>
      </c>
      <c r="M120">
        <f t="shared" si="49"/>
        <v>366.34273175879986</v>
      </c>
      <c r="O120" s="2">
        <f t="shared" si="50"/>
        <v>13</v>
      </c>
      <c r="P120">
        <f t="shared" si="51"/>
        <v>476.24555128643976</v>
      </c>
      <c r="R120" s="2">
        <f t="shared" si="55"/>
        <v>48</v>
      </c>
      <c r="S120">
        <f t="shared" si="56"/>
        <v>1758.4451124422392</v>
      </c>
      <c r="T120">
        <f t="shared" si="57"/>
        <v>6092.3792743718805</v>
      </c>
      <c r="V120" s="2">
        <f t="shared" si="52"/>
        <v>31</v>
      </c>
      <c r="W120">
        <f t="shared" si="53"/>
        <v>1135.6624684522797</v>
      </c>
      <c r="Y120">
        <f t="shared" si="54"/>
        <v>3934.6616146985066</v>
      </c>
    </row>
    <row r="121" spans="1:25" x14ac:dyDescent="0.25">
      <c r="A121" s="1">
        <v>119000</v>
      </c>
      <c r="B121" s="2">
        <v>80</v>
      </c>
      <c r="C121" s="2">
        <f>Table1[[#This Row],[Elev_CEM1]]-B141</f>
        <v>10</v>
      </c>
      <c r="D121">
        <f>Table1[[#This Row],[distance]]/$A$179</f>
        <v>0.67231638418079098</v>
      </c>
      <c r="E121">
        <f t="shared" si="45"/>
        <v>14.360677966101695</v>
      </c>
      <c r="F121" s="8">
        <f t="shared" si="58"/>
        <v>5388.5930949152544</v>
      </c>
      <c r="G121">
        <f t="shared" si="59"/>
        <v>5.3885930949152545</v>
      </c>
      <c r="I121" s="2">
        <f t="shared" si="46"/>
        <v>2</v>
      </c>
      <c r="K121">
        <f t="shared" si="47"/>
        <v>89.865567043901692</v>
      </c>
      <c r="L121" s="2">
        <f t="shared" si="48"/>
        <v>13</v>
      </c>
      <c r="M121">
        <f t="shared" si="49"/>
        <v>584.12618578536092</v>
      </c>
      <c r="O121" s="2">
        <f t="shared" si="50"/>
        <v>9</v>
      </c>
      <c r="P121">
        <f t="shared" si="51"/>
        <v>404.39505169755762</v>
      </c>
      <c r="R121" s="2">
        <f t="shared" si="55"/>
        <v>31</v>
      </c>
      <c r="S121">
        <f t="shared" si="56"/>
        <v>1392.9162891804763</v>
      </c>
      <c r="T121">
        <f t="shared" si="57"/>
        <v>4825.9534921462455</v>
      </c>
      <c r="V121" s="2">
        <f t="shared" si="52"/>
        <v>23</v>
      </c>
      <c r="W121">
        <f t="shared" si="53"/>
        <v>1033.4540210048694</v>
      </c>
      <c r="Y121">
        <f t="shared" si="54"/>
        <v>3580.5461393343107</v>
      </c>
    </row>
    <row r="122" spans="1:25" x14ac:dyDescent="0.25">
      <c r="A122" s="1">
        <v>120000</v>
      </c>
      <c r="B122" s="2">
        <v>78</v>
      </c>
      <c r="C122" s="2">
        <f>Table1[[#This Row],[Elev_CEM1]]-B142</f>
        <v>14</v>
      </c>
      <c r="D122">
        <f>Table1[[#This Row],[distance]]/$A$179</f>
        <v>0.67796610169491522</v>
      </c>
      <c r="E122">
        <f t="shared" si="45"/>
        <v>14.481355932203389</v>
      </c>
      <c r="F122" s="8">
        <f t="shared" si="58"/>
        <v>3984.8419525423728</v>
      </c>
      <c r="G122">
        <f t="shared" si="59"/>
        <v>3.9848419525423728</v>
      </c>
      <c r="I122" s="2">
        <f t="shared" si="46"/>
        <v>6</v>
      </c>
      <c r="K122">
        <f t="shared" si="47"/>
        <v>199.36562772764745</v>
      </c>
      <c r="L122" s="2">
        <f t="shared" si="48"/>
        <v>15</v>
      </c>
      <c r="M122">
        <f t="shared" si="49"/>
        <v>498.41406931911854</v>
      </c>
      <c r="O122" s="2">
        <f t="shared" si="50"/>
        <v>9</v>
      </c>
      <c r="P122">
        <f t="shared" si="51"/>
        <v>299.0484415914712</v>
      </c>
      <c r="R122" s="2">
        <f t="shared" si="55"/>
        <v>35</v>
      </c>
      <c r="S122">
        <f t="shared" si="56"/>
        <v>1162.96616174461</v>
      </c>
      <c r="T122">
        <f t="shared" si="57"/>
        <v>4029.2590826268456</v>
      </c>
      <c r="V122" s="2">
        <f t="shared" si="52"/>
        <v>20</v>
      </c>
      <c r="W122">
        <f t="shared" si="53"/>
        <v>664.55209242549142</v>
      </c>
      <c r="Y122">
        <f t="shared" si="54"/>
        <v>2302.433761501055</v>
      </c>
    </row>
    <row r="123" spans="1:25" x14ac:dyDescent="0.25">
      <c r="A123" s="1">
        <v>121000</v>
      </c>
      <c r="B123" s="2">
        <v>75</v>
      </c>
      <c r="C123" s="2">
        <f>Table1[[#This Row],[Elev_CEM1]]-B143</f>
        <v>2</v>
      </c>
      <c r="D123">
        <f>Table1[[#This Row],[distance]]/$A$179</f>
        <v>0.68361581920903958</v>
      </c>
      <c r="E123">
        <f t="shared" si="45"/>
        <v>14.602033898305084</v>
      </c>
      <c r="F123" s="8">
        <f t="shared" si="58"/>
        <v>4626.844267118644</v>
      </c>
      <c r="G123">
        <f t="shared" si="59"/>
        <v>4.6268442671186438</v>
      </c>
      <c r="I123" s="2">
        <f t="shared" si="46"/>
        <v>2</v>
      </c>
      <c r="K123">
        <f t="shared" si="47"/>
        <v>77.161881842737628</v>
      </c>
      <c r="L123" s="2">
        <f t="shared" si="48"/>
        <v>8</v>
      </c>
      <c r="M123">
        <f t="shared" si="49"/>
        <v>308.64752737095051</v>
      </c>
      <c r="O123" s="2">
        <f t="shared" si="50"/>
        <v>18</v>
      </c>
      <c r="P123">
        <f t="shared" si="51"/>
        <v>694.45693658463858</v>
      </c>
      <c r="R123" s="2">
        <f t="shared" si="55"/>
        <v>33</v>
      </c>
      <c r="S123">
        <f t="shared" si="56"/>
        <v>1273.1710504051709</v>
      </c>
      <c r="T123">
        <f t="shared" si="57"/>
        <v>4411.079348075772</v>
      </c>
      <c r="V123" s="2">
        <f t="shared" si="52"/>
        <v>21</v>
      </c>
      <c r="W123">
        <f t="shared" si="53"/>
        <v>810.19975934874503</v>
      </c>
      <c r="Y123">
        <f t="shared" si="54"/>
        <v>2807.0504942300363</v>
      </c>
    </row>
    <row r="124" spans="1:25" x14ac:dyDescent="0.25">
      <c r="A124" s="1">
        <v>122000</v>
      </c>
      <c r="B124" s="2">
        <v>73</v>
      </c>
      <c r="C124" s="2">
        <f>Table1[[#This Row],[Elev_CEM1]]-B144</f>
        <v>10</v>
      </c>
      <c r="D124">
        <f>Table1[[#This Row],[distance]]/$A$179</f>
        <v>0.68926553672316382</v>
      </c>
      <c r="E124">
        <f t="shared" si="45"/>
        <v>14.722711864406779</v>
      </c>
      <c r="F124" s="8">
        <f t="shared" si="58"/>
        <v>4296.7866508474572</v>
      </c>
      <c r="G124">
        <f t="shared" si="59"/>
        <v>4.2967866508474568</v>
      </c>
      <c r="I124" s="2">
        <f t="shared" si="46"/>
        <v>7</v>
      </c>
      <c r="K124">
        <f t="shared" si="47"/>
        <v>250.80128841664063</v>
      </c>
      <c r="L124" s="2">
        <f t="shared" si="48"/>
        <v>10</v>
      </c>
      <c r="M124">
        <f t="shared" si="49"/>
        <v>358.28755488091531</v>
      </c>
      <c r="O124" s="2">
        <f t="shared" si="50"/>
        <v>20</v>
      </c>
      <c r="P124">
        <f t="shared" si="51"/>
        <v>716.57510976183062</v>
      </c>
      <c r="R124" s="2">
        <f t="shared" si="55"/>
        <v>34</v>
      </c>
      <c r="S124">
        <f t="shared" si="56"/>
        <v>1218.1776865951119</v>
      </c>
      <c r="T124">
        <f t="shared" si="57"/>
        <v>4220.5471400848892</v>
      </c>
      <c r="V124" s="2">
        <f t="shared" si="52"/>
        <v>34</v>
      </c>
      <c r="W124">
        <f t="shared" si="53"/>
        <v>1218.1776865951119</v>
      </c>
      <c r="Y124">
        <f t="shared" si="54"/>
        <v>4220.5471400848892</v>
      </c>
    </row>
    <row r="125" spans="1:25" x14ac:dyDescent="0.25">
      <c r="A125" s="1">
        <v>123000</v>
      </c>
      <c r="B125" s="2">
        <v>76</v>
      </c>
      <c r="C125" s="2">
        <f>Table1[[#This Row],[Elev_CEM1]]-B145</f>
        <v>8</v>
      </c>
      <c r="D125">
        <f>Table1[[#This Row],[distance]]/$A$179</f>
        <v>0.69491525423728817</v>
      </c>
      <c r="E125">
        <f t="shared" si="45"/>
        <v>14.843389830508475</v>
      </c>
      <c r="F125" s="8">
        <f t="shared" si="58"/>
        <v>3836.9197891525423</v>
      </c>
      <c r="G125">
        <f t="shared" si="59"/>
        <v>3.8369197891525424</v>
      </c>
      <c r="I125" s="2">
        <f t="shared" si="46"/>
        <v>2</v>
      </c>
      <c r="K125">
        <f t="shared" si="47"/>
        <v>63.988311323696948</v>
      </c>
      <c r="L125" s="2">
        <f t="shared" si="48"/>
        <v>6</v>
      </c>
      <c r="M125">
        <f t="shared" si="49"/>
        <v>191.96493397109086</v>
      </c>
      <c r="O125" s="2">
        <f t="shared" si="50"/>
        <v>7</v>
      </c>
      <c r="P125">
        <f t="shared" si="51"/>
        <v>223.95908963293931</v>
      </c>
      <c r="R125" s="2">
        <f t="shared" si="55"/>
        <v>32</v>
      </c>
      <c r="S125">
        <f t="shared" si="56"/>
        <v>1023.8129811791512</v>
      </c>
      <c r="T125">
        <f t="shared" si="57"/>
        <v>3547.1434071125341</v>
      </c>
      <c r="V125" s="2">
        <f t="shared" si="52"/>
        <v>14</v>
      </c>
      <c r="W125">
        <f t="shared" si="53"/>
        <v>447.91817926587862</v>
      </c>
      <c r="Y125">
        <f t="shared" si="54"/>
        <v>1551.8752406117337</v>
      </c>
    </row>
    <row r="126" spans="1:25" x14ac:dyDescent="0.25">
      <c r="A126" s="1">
        <v>124000</v>
      </c>
      <c r="B126" s="2">
        <v>80</v>
      </c>
      <c r="C126" s="2">
        <f>Table1[[#This Row],[Elev_CEM1]]-B146</f>
        <v>26</v>
      </c>
      <c r="D126">
        <f>Table1[[#This Row],[distance]]/$A$179</f>
        <v>0.70056497175141241</v>
      </c>
      <c r="E126">
        <f t="shared" si="45"/>
        <v>14.964067796610168</v>
      </c>
      <c r="F126" s="8">
        <f t="shared" si="58"/>
        <v>3493.7806210169492</v>
      </c>
      <c r="G126">
        <f t="shared" si="59"/>
        <v>3.4937806210169491</v>
      </c>
      <c r="I126" s="2">
        <f t="shared" si="46"/>
        <v>-5</v>
      </c>
      <c r="K126">
        <f t="shared" si="47"/>
        <v>-145.66444854174915</v>
      </c>
      <c r="L126" s="2">
        <f t="shared" si="48"/>
        <v>4</v>
      </c>
      <c r="M126">
        <f t="shared" si="49"/>
        <v>116.53155883339932</v>
      </c>
      <c r="O126" s="2">
        <f t="shared" si="50"/>
        <v>3</v>
      </c>
      <c r="P126">
        <f t="shared" si="51"/>
        <v>87.39866912504948</v>
      </c>
      <c r="R126" s="2">
        <f t="shared" si="55"/>
        <v>23</v>
      </c>
      <c r="S126">
        <f t="shared" si="56"/>
        <v>670.05646329204603</v>
      </c>
      <c r="T126">
        <f t="shared" si="57"/>
        <v>2321.5044249801545</v>
      </c>
      <c r="V126" s="2">
        <f t="shared" si="52"/>
        <v>9</v>
      </c>
      <c r="W126">
        <f t="shared" si="53"/>
        <v>262.1960073751485</v>
      </c>
      <c r="Y126">
        <f t="shared" si="54"/>
        <v>908.41477499223447</v>
      </c>
    </row>
    <row r="127" spans="1:25" x14ac:dyDescent="0.25">
      <c r="A127" s="1">
        <v>125000</v>
      </c>
      <c r="B127" s="2">
        <v>70</v>
      </c>
      <c r="C127" s="2">
        <f>Table1[[#This Row],[Elev_CEM1]]-B147</f>
        <v>5</v>
      </c>
      <c r="D127">
        <f>Table1[[#This Row],[distance]]/$A$179</f>
        <v>0.70621468926553677</v>
      </c>
      <c r="E127">
        <f t="shared" si="45"/>
        <v>15.084745762711865</v>
      </c>
      <c r="F127" s="8">
        <f t="shared" si="58"/>
        <v>4150.8770338983049</v>
      </c>
      <c r="G127">
        <f t="shared" si="59"/>
        <v>4.150877033898305</v>
      </c>
      <c r="I127" s="2">
        <f t="shared" si="46"/>
        <v>3</v>
      </c>
      <c r="K127">
        <f t="shared" si="47"/>
        <v>103.83626444148304</v>
      </c>
      <c r="L127" s="2">
        <f t="shared" si="48"/>
        <v>7</v>
      </c>
      <c r="M127">
        <f t="shared" si="49"/>
        <v>242.28461703012709</v>
      </c>
      <c r="O127" s="2">
        <f t="shared" si="50"/>
        <v>12</v>
      </c>
      <c r="P127">
        <f t="shared" si="51"/>
        <v>415.34505776593221</v>
      </c>
      <c r="R127" s="2">
        <f t="shared" si="55"/>
        <v>28</v>
      </c>
      <c r="S127">
        <f t="shared" si="56"/>
        <v>969.13846812050838</v>
      </c>
      <c r="T127">
        <f t="shared" si="57"/>
        <v>3357.7159021890388</v>
      </c>
      <c r="V127" s="2">
        <f t="shared" si="52"/>
        <v>17</v>
      </c>
      <c r="W127">
        <f t="shared" si="53"/>
        <v>588.40549850173738</v>
      </c>
      <c r="Y127">
        <f t="shared" si="54"/>
        <v>2038.6132263290594</v>
      </c>
    </row>
    <row r="128" spans="1:25" x14ac:dyDescent="0.25">
      <c r="A128" s="1">
        <v>126000</v>
      </c>
      <c r="B128" s="2">
        <v>76</v>
      </c>
      <c r="C128" s="2">
        <f>Table1[[#This Row],[Elev_CEM1]]-B148</f>
        <v>14</v>
      </c>
      <c r="D128">
        <f>Table1[[#This Row],[distance]]/$A$179</f>
        <v>0.71186440677966101</v>
      </c>
      <c r="E128">
        <f t="shared" si="45"/>
        <v>15.205423728813559</v>
      </c>
      <c r="F128" s="8">
        <f t="shared" si="58"/>
        <v>2789.3893667796615</v>
      </c>
      <c r="G128">
        <f t="shared" si="59"/>
        <v>2.7893893667796616</v>
      </c>
      <c r="I128" s="2">
        <f t="shared" si="46"/>
        <v>0</v>
      </c>
      <c r="K128">
        <f t="shared" si="47"/>
        <v>0</v>
      </c>
      <c r="L128" s="2">
        <f t="shared" si="48"/>
        <v>4</v>
      </c>
      <c r="M128">
        <f t="shared" si="49"/>
        <v>93.037292939568815</v>
      </c>
      <c r="O128" s="2">
        <f t="shared" si="50"/>
        <v>8</v>
      </c>
      <c r="P128">
        <f t="shared" si="51"/>
        <v>186.07458587913763</v>
      </c>
      <c r="R128" s="2">
        <f t="shared" si="55"/>
        <v>20</v>
      </c>
      <c r="S128">
        <f t="shared" si="56"/>
        <v>465.18646469784414</v>
      </c>
      <c r="T128">
        <f t="shared" si="57"/>
        <v>1611.7036330507387</v>
      </c>
      <c r="V128" s="2">
        <f t="shared" si="52"/>
        <v>17</v>
      </c>
      <c r="W128">
        <f t="shared" si="53"/>
        <v>395.40849499316749</v>
      </c>
      <c r="Y128">
        <f t="shared" si="54"/>
        <v>1369.9480880931278</v>
      </c>
    </row>
    <row r="129" spans="1:25" x14ac:dyDescent="0.25">
      <c r="A129" s="1">
        <v>127000</v>
      </c>
      <c r="B129" s="2">
        <v>72</v>
      </c>
      <c r="C129" s="2">
        <f>Table1[[#This Row],[Elev_CEM1]]-B149</f>
        <v>10</v>
      </c>
      <c r="D129">
        <f>Table1[[#This Row],[distance]]/$A$179</f>
        <v>0.71751412429378536</v>
      </c>
      <c r="E129">
        <f t="shared" si="45"/>
        <v>15.326101694915256</v>
      </c>
      <c r="F129" s="8">
        <f t="shared" si="58"/>
        <v>3067.120775593221</v>
      </c>
      <c r="G129">
        <f t="shared" si="59"/>
        <v>3.0671207755932208</v>
      </c>
      <c r="I129" s="2">
        <f t="shared" si="46"/>
        <v>8</v>
      </c>
      <c r="K129">
        <f t="shared" si="47"/>
        <v>204.60149269827258</v>
      </c>
      <c r="L129" s="2">
        <f t="shared" si="48"/>
        <v>6</v>
      </c>
      <c r="M129">
        <f t="shared" si="49"/>
        <v>153.45111952370445</v>
      </c>
      <c r="O129" s="2">
        <f t="shared" si="50"/>
        <v>5</v>
      </c>
      <c r="P129">
        <f t="shared" si="51"/>
        <v>127.87593293642036</v>
      </c>
      <c r="R129" s="2">
        <f t="shared" si="55"/>
        <v>35</v>
      </c>
      <c r="S129">
        <f t="shared" si="56"/>
        <v>895.13153055494263</v>
      </c>
      <c r="T129">
        <f t="shared" si="57"/>
        <v>3101.3085060218764</v>
      </c>
      <c r="V129" s="2">
        <f t="shared" si="52"/>
        <v>21</v>
      </c>
      <c r="W129">
        <f t="shared" si="53"/>
        <v>537.07891833296549</v>
      </c>
      <c r="Y129">
        <f t="shared" si="54"/>
        <v>1860.7851036131256</v>
      </c>
    </row>
    <row r="130" spans="1:25" x14ac:dyDescent="0.25">
      <c r="A130" s="1">
        <v>128000</v>
      </c>
      <c r="B130" s="2">
        <v>68</v>
      </c>
      <c r="C130" s="2">
        <f>Table1[[#This Row],[Elev_CEM1]]-B150</f>
        <v>3</v>
      </c>
      <c r="D130">
        <f>Table1[[#This Row],[distance]]/$A$179</f>
        <v>0.7231638418079096</v>
      </c>
      <c r="E130">
        <f t="shared" ref="E130:E161" si="60">21.36*D130</f>
        <v>15.446779661016949</v>
      </c>
      <c r="F130" s="8">
        <f t="shared" si="58"/>
        <v>5023.3159159322049</v>
      </c>
      <c r="G130">
        <f t="shared" si="59"/>
        <v>5.0233159159322049</v>
      </c>
      <c r="I130" s="2">
        <f t="shared" si="46"/>
        <v>2</v>
      </c>
      <c r="K130">
        <f t="shared" si="47"/>
        <v>83.773839530001368</v>
      </c>
      <c r="L130" s="2">
        <f t="shared" si="48"/>
        <v>7</v>
      </c>
      <c r="M130">
        <f t="shared" si="49"/>
        <v>293.20843835500483</v>
      </c>
      <c r="O130" s="2">
        <f t="shared" si="50"/>
        <v>12</v>
      </c>
      <c r="P130">
        <f t="shared" si="51"/>
        <v>502.64303718000826</v>
      </c>
      <c r="R130" s="2">
        <f t="shared" si="55"/>
        <v>22</v>
      </c>
      <c r="S130">
        <f t="shared" si="56"/>
        <v>921.51223483001502</v>
      </c>
      <c r="T130">
        <f t="shared" si="57"/>
        <v>3192.7081492814636</v>
      </c>
      <c r="V130" s="2">
        <f t="shared" si="52"/>
        <v>15</v>
      </c>
      <c r="W130">
        <f t="shared" si="53"/>
        <v>628.30379647501036</v>
      </c>
      <c r="Y130">
        <f t="shared" si="54"/>
        <v>2176.8464654191803</v>
      </c>
    </row>
    <row r="131" spans="1:25" x14ac:dyDescent="0.25">
      <c r="A131" s="1">
        <v>129000</v>
      </c>
      <c r="B131" s="2">
        <v>67</v>
      </c>
      <c r="C131" s="2">
        <f>Table1[[#This Row],[Elev_CEM1]]-B151</f>
        <v>2</v>
      </c>
      <c r="D131">
        <f>Table1[[#This Row],[distance]]/$A$179</f>
        <v>0.72881355932203384</v>
      </c>
      <c r="E131">
        <f t="shared" si="60"/>
        <v>15.567457627118642</v>
      </c>
      <c r="F131" s="8">
        <f t="shared" si="58"/>
        <v>2985.6126447457618</v>
      </c>
      <c r="G131">
        <f t="shared" si="59"/>
        <v>2.9856126447457618</v>
      </c>
      <c r="I131" s="2">
        <f t="shared" si="46"/>
        <v>9</v>
      </c>
      <c r="K131">
        <f t="shared" si="47"/>
        <v>224.05977934391282</v>
      </c>
      <c r="L131" s="2">
        <f t="shared" si="48"/>
        <v>6</v>
      </c>
      <c r="M131">
        <f t="shared" si="49"/>
        <v>149.37318622927521</v>
      </c>
      <c r="O131" s="2">
        <f t="shared" si="50"/>
        <v>11</v>
      </c>
      <c r="P131">
        <f t="shared" si="51"/>
        <v>273.85084142033793</v>
      </c>
      <c r="R131" s="2">
        <f t="shared" si="55"/>
        <v>22</v>
      </c>
      <c r="S131">
        <f t="shared" si="56"/>
        <v>547.70168284067586</v>
      </c>
      <c r="T131">
        <f t="shared" si="57"/>
        <v>1897.5891584371193</v>
      </c>
      <c r="V131" s="2">
        <f t="shared" si="52"/>
        <v>16</v>
      </c>
      <c r="W131">
        <f t="shared" si="53"/>
        <v>398.32849661140057</v>
      </c>
      <c r="Y131">
        <f t="shared" si="54"/>
        <v>1380.064842499723</v>
      </c>
    </row>
    <row r="132" spans="1:25" x14ac:dyDescent="0.25">
      <c r="A132" s="1">
        <v>130000</v>
      </c>
      <c r="B132" s="2">
        <v>63</v>
      </c>
      <c r="C132" s="2">
        <f>Table1[[#This Row],[Elev_CEM1]]-B152</f>
        <v>0</v>
      </c>
      <c r="D132">
        <f>Table1[[#This Row],[distance]]/$A$179</f>
        <v>0.7344632768361582</v>
      </c>
      <c r="E132">
        <f t="shared" si="60"/>
        <v>15.688135593220339</v>
      </c>
      <c r="F132" s="8">
        <f t="shared" si="58"/>
        <v>3401.2034847457626</v>
      </c>
      <c r="G132">
        <f t="shared" si="59"/>
        <v>3.4012034847457624</v>
      </c>
      <c r="I132" s="2">
        <f t="shared" si="46"/>
        <v>9</v>
      </c>
      <c r="K132">
        <f t="shared" si="47"/>
        <v>255.24841731797284</v>
      </c>
      <c r="L132" s="2">
        <f t="shared" si="48"/>
        <v>13</v>
      </c>
      <c r="M132">
        <f t="shared" si="49"/>
        <v>368.69215834818306</v>
      </c>
      <c r="O132" s="2">
        <f t="shared" si="50"/>
        <v>12</v>
      </c>
      <c r="P132">
        <f t="shared" si="51"/>
        <v>340.33122309063049</v>
      </c>
      <c r="R132" s="2">
        <f t="shared" si="55"/>
        <v>24</v>
      </c>
      <c r="S132">
        <f t="shared" si="56"/>
        <v>680.66244618126098</v>
      </c>
      <c r="T132">
        <f t="shared" si="57"/>
        <v>2358.250337537444</v>
      </c>
      <c r="V132" s="2">
        <f t="shared" si="52"/>
        <v>19</v>
      </c>
      <c r="W132">
        <f t="shared" si="53"/>
        <v>538.85776989349836</v>
      </c>
      <c r="Y132">
        <f t="shared" si="54"/>
        <v>1866.9481838838103</v>
      </c>
    </row>
    <row r="133" spans="1:25" x14ac:dyDescent="0.25">
      <c r="A133" s="1">
        <v>131000</v>
      </c>
      <c r="B133" s="2">
        <v>71</v>
      </c>
      <c r="C133" s="2">
        <f>Table1[[#This Row],[Elev_CEM1]]-B153</f>
        <v>17</v>
      </c>
      <c r="D133">
        <f>Table1[[#This Row],[distance]]/$A$179</f>
        <v>0.74011299435028244</v>
      </c>
      <c r="E133">
        <f t="shared" si="60"/>
        <v>15.808813559322033</v>
      </c>
      <c r="F133" s="8">
        <f t="shared" si="58"/>
        <v>2109.1486698305084</v>
      </c>
      <c r="G133">
        <f t="shared" si="59"/>
        <v>2.1091486698305086</v>
      </c>
      <c r="I133" s="2">
        <f t="shared" ref="I133:I164" si="61">B130-B133</f>
        <v>-3</v>
      </c>
      <c r="K133">
        <f t="shared" ref="K133:K164" si="62">(1000*9.81*I133*F133*0.85)/1000000</f>
        <v>-52.761408550145084</v>
      </c>
      <c r="L133" s="2">
        <f t="shared" si="48"/>
        <v>9</v>
      </c>
      <c r="M133">
        <f t="shared" si="49"/>
        <v>158.28422565043525</v>
      </c>
      <c r="O133" s="2">
        <f t="shared" si="50"/>
        <v>2</v>
      </c>
      <c r="P133">
        <f t="shared" si="51"/>
        <v>35.17427236676339</v>
      </c>
      <c r="R133" s="2">
        <f t="shared" si="55"/>
        <v>22</v>
      </c>
      <c r="S133">
        <f t="shared" si="56"/>
        <v>386.91699603439724</v>
      </c>
      <c r="T133">
        <f t="shared" si="57"/>
        <v>1340.5281011406141</v>
      </c>
      <c r="V133" s="2">
        <f t="shared" si="52"/>
        <v>13</v>
      </c>
      <c r="W133">
        <f t="shared" si="53"/>
        <v>228.63277038396203</v>
      </c>
      <c r="Y133">
        <f t="shared" si="54"/>
        <v>792.1302415830902</v>
      </c>
    </row>
    <row r="134" spans="1:25" x14ac:dyDescent="0.25">
      <c r="A134" s="1">
        <v>132000</v>
      </c>
      <c r="B134" s="2">
        <v>68</v>
      </c>
      <c r="C134" s="2">
        <f>Table1[[#This Row],[Elev_CEM1]]-B154</f>
        <v>11</v>
      </c>
      <c r="D134">
        <f>Table1[[#This Row],[distance]]/$A$179</f>
        <v>0.74576271186440679</v>
      </c>
      <c r="E134">
        <f t="shared" si="60"/>
        <v>15.929491525423728</v>
      </c>
      <c r="F134" s="8">
        <f t="shared" si="58"/>
        <v>3320.701627118644</v>
      </c>
      <c r="G134">
        <f t="shared" si="59"/>
        <v>3.3207016271186438</v>
      </c>
      <c r="I134" s="2">
        <f t="shared" si="61"/>
        <v>-1</v>
      </c>
      <c r="K134">
        <f t="shared" si="62"/>
        <v>-27.689670517728814</v>
      </c>
      <c r="L134" s="2">
        <f t="shared" si="48"/>
        <v>2</v>
      </c>
      <c r="M134">
        <f t="shared" si="49"/>
        <v>55.379341035457628</v>
      </c>
      <c r="O134" s="2">
        <f t="shared" si="50"/>
        <v>8</v>
      </c>
      <c r="P134">
        <f t="shared" si="51"/>
        <v>221.51736414183051</v>
      </c>
      <c r="R134" s="2">
        <f t="shared" si="55"/>
        <v>25</v>
      </c>
      <c r="S134">
        <f t="shared" si="56"/>
        <v>692.24176294322024</v>
      </c>
      <c r="T134">
        <f t="shared" si="57"/>
        <v>2398.3685015635988</v>
      </c>
      <c r="V134" s="2">
        <f t="shared" si="52"/>
        <v>9</v>
      </c>
      <c r="W134">
        <f t="shared" si="53"/>
        <v>249.20703465955927</v>
      </c>
      <c r="Y134">
        <f t="shared" si="54"/>
        <v>863.41266056289544</v>
      </c>
    </row>
    <row r="135" spans="1:25" x14ac:dyDescent="0.25">
      <c r="A135" s="1">
        <v>133000</v>
      </c>
      <c r="B135" s="2">
        <v>74</v>
      </c>
      <c r="C135" s="2">
        <f>Table1[[#This Row],[Elev_CEM1]]-B155</f>
        <v>21</v>
      </c>
      <c r="D135">
        <f>Table1[[#This Row],[distance]]/$A$179</f>
        <v>0.75141242937853103</v>
      </c>
      <c r="E135">
        <f t="shared" si="60"/>
        <v>16.050169491525423</v>
      </c>
      <c r="F135" s="8">
        <f t="shared" si="58"/>
        <v>2542.8524277966103</v>
      </c>
      <c r="G135">
        <f t="shared" si="59"/>
        <v>2.5428524277966105</v>
      </c>
      <c r="I135" s="2">
        <f t="shared" si="61"/>
        <v>-11</v>
      </c>
      <c r="K135">
        <f t="shared" si="62"/>
        <v>-233.23932466100237</v>
      </c>
      <c r="L135" s="2">
        <f t="shared" si="48"/>
        <v>2</v>
      </c>
      <c r="M135">
        <f t="shared" si="49"/>
        <v>42.407149938364064</v>
      </c>
      <c r="O135" s="2">
        <f t="shared" si="50"/>
        <v>6</v>
      </c>
      <c r="P135">
        <f t="shared" si="51"/>
        <v>127.22144981509219</v>
      </c>
      <c r="R135" s="2">
        <f t="shared" si="55"/>
        <v>9</v>
      </c>
      <c r="S135">
        <f t="shared" si="56"/>
        <v>190.83217472263831</v>
      </c>
      <c r="T135">
        <f t="shared" si="57"/>
        <v>661.16478583104163</v>
      </c>
      <c r="V135" s="2">
        <f t="shared" si="52"/>
        <v>6</v>
      </c>
      <c r="W135">
        <f t="shared" si="53"/>
        <v>127.22144981509219</v>
      </c>
      <c r="Y135">
        <f t="shared" si="54"/>
        <v>440.77652388736101</v>
      </c>
    </row>
    <row r="136" spans="1:25" x14ac:dyDescent="0.25">
      <c r="A136" s="1">
        <v>134000</v>
      </c>
      <c r="B136" s="2">
        <v>69</v>
      </c>
      <c r="C136" s="2">
        <f>Table1[[#This Row],[Elev_CEM1]]-B156</f>
        <v>20</v>
      </c>
      <c r="D136">
        <f>Table1[[#This Row],[distance]]/$A$179</f>
        <v>0.75706214689265539</v>
      </c>
      <c r="E136">
        <f t="shared" si="60"/>
        <v>16.170847457627119</v>
      </c>
      <c r="F136" s="8">
        <f t="shared" si="58"/>
        <v>1887.7685613559322</v>
      </c>
      <c r="G136">
        <f t="shared" si="59"/>
        <v>1.8877685613559323</v>
      </c>
      <c r="I136" s="2">
        <f t="shared" si="61"/>
        <v>2</v>
      </c>
      <c r="K136">
        <f t="shared" si="62"/>
        <v>31.482316297732879</v>
      </c>
      <c r="L136" s="2">
        <f t="shared" si="48"/>
        <v>3</v>
      </c>
      <c r="M136">
        <f t="shared" si="49"/>
        <v>47.223474446599319</v>
      </c>
      <c r="O136" s="2">
        <f t="shared" si="50"/>
        <v>1</v>
      </c>
      <c r="P136">
        <f t="shared" si="51"/>
        <v>15.74115814886644</v>
      </c>
      <c r="R136" s="2">
        <f t="shared" si="55"/>
        <v>14</v>
      </c>
      <c r="S136">
        <f t="shared" si="56"/>
        <v>220.37621408413017</v>
      </c>
      <c r="T136">
        <f t="shared" si="57"/>
        <v>763.52424636444073</v>
      </c>
      <c r="V136" s="2">
        <f t="shared" si="52"/>
        <v>9</v>
      </c>
      <c r="W136">
        <f t="shared" si="53"/>
        <v>141.67042333979796</v>
      </c>
      <c r="Y136">
        <f t="shared" si="54"/>
        <v>490.83701551999758</v>
      </c>
    </row>
    <row r="137" spans="1:25" x14ac:dyDescent="0.25">
      <c r="A137" s="1">
        <v>135000</v>
      </c>
      <c r="B137" s="2">
        <v>66</v>
      </c>
      <c r="C137" s="2">
        <f>Table1[[#This Row],[Elev_CEM1]]-B157</f>
        <v>12</v>
      </c>
      <c r="D137">
        <f>Table1[[#This Row],[distance]]/$A$179</f>
        <v>0.76271186440677963</v>
      </c>
      <c r="E137">
        <f t="shared" si="60"/>
        <v>16.291525423728814</v>
      </c>
      <c r="F137" s="8">
        <f t="shared" si="58"/>
        <v>2309.3970406779663</v>
      </c>
      <c r="G137">
        <f t="shared" si="59"/>
        <v>2.3093970406779665</v>
      </c>
      <c r="I137" s="2">
        <f t="shared" si="61"/>
        <v>2</v>
      </c>
      <c r="K137">
        <f t="shared" si="62"/>
        <v>38.513814447386444</v>
      </c>
      <c r="L137" s="2">
        <f t="shared" ref="L137:L168" si="63">B130-B137</f>
        <v>2</v>
      </c>
      <c r="M137">
        <f t="shared" ref="M137:M168" si="64">(1000*9.81*F137*L137*0.85)/1000000</f>
        <v>38.513814447386444</v>
      </c>
      <c r="O137" s="2">
        <f t="shared" si="50"/>
        <v>10</v>
      </c>
      <c r="P137">
        <f t="shared" si="51"/>
        <v>192.56907223693221</v>
      </c>
      <c r="R137" s="2">
        <f t="shared" si="55"/>
        <v>16</v>
      </c>
      <c r="S137">
        <f t="shared" si="56"/>
        <v>308.11051557909155</v>
      </c>
      <c r="T137">
        <f t="shared" si="57"/>
        <v>1067.4920166959439</v>
      </c>
      <c r="V137" s="2">
        <f t="shared" si="52"/>
        <v>9</v>
      </c>
      <c r="W137">
        <f t="shared" si="53"/>
        <v>173.312165013239</v>
      </c>
      <c r="Y137">
        <f t="shared" si="54"/>
        <v>600.46425939146832</v>
      </c>
    </row>
    <row r="138" spans="1:25" x14ac:dyDescent="0.25">
      <c r="A138" s="1">
        <v>136000</v>
      </c>
      <c r="B138" s="2">
        <v>66</v>
      </c>
      <c r="C138" s="2">
        <f>Table1[[#This Row],[Elev_CEM1]]-B158</f>
        <v>11</v>
      </c>
      <c r="D138">
        <f>Table1[[#This Row],[distance]]/$A$179</f>
        <v>0.76836158192090398</v>
      </c>
      <c r="E138">
        <f t="shared" si="60"/>
        <v>16.412203389830509</v>
      </c>
      <c r="F138" s="8">
        <f t="shared" si="58"/>
        <v>2189.650527457627</v>
      </c>
      <c r="G138">
        <f t="shared" si="59"/>
        <v>2.1896505274576272</v>
      </c>
      <c r="I138" s="2">
        <f t="shared" si="61"/>
        <v>8</v>
      </c>
      <c r="K138">
        <f t="shared" si="62"/>
        <v>146.0672073856434</v>
      </c>
      <c r="L138" s="2">
        <f t="shared" si="63"/>
        <v>1</v>
      </c>
      <c r="M138">
        <f t="shared" si="64"/>
        <v>18.258400923205425</v>
      </c>
      <c r="O138" s="2">
        <f t="shared" si="50"/>
        <v>6</v>
      </c>
      <c r="P138">
        <f t="shared" si="51"/>
        <v>109.55040553923254</v>
      </c>
      <c r="R138" s="2">
        <f t="shared" si="55"/>
        <v>18</v>
      </c>
      <c r="S138">
        <f t="shared" si="56"/>
        <v>328.65121661769757</v>
      </c>
      <c r="T138">
        <f t="shared" si="57"/>
        <v>1138.6581511423399</v>
      </c>
      <c r="V138" s="2">
        <f t="shared" si="52"/>
        <v>7</v>
      </c>
      <c r="W138">
        <f t="shared" si="53"/>
        <v>127.80880646243796</v>
      </c>
      <c r="Y138">
        <f t="shared" si="54"/>
        <v>442.81150322202103</v>
      </c>
    </row>
    <row r="139" spans="1:25" x14ac:dyDescent="0.25">
      <c r="A139" s="1">
        <v>137000</v>
      </c>
      <c r="B139" s="2">
        <v>66</v>
      </c>
      <c r="C139" s="2">
        <f>Table1[[#This Row],[Elev_CEM1]]-B159</f>
        <v>16</v>
      </c>
      <c r="D139">
        <f>Table1[[#This Row],[distance]]/$A$179</f>
        <v>0.77401129943502822</v>
      </c>
      <c r="E139">
        <f t="shared" si="60"/>
        <v>16.532881355932201</v>
      </c>
      <c r="F139" s="8">
        <f t="shared" si="58"/>
        <v>2481.4697613559324</v>
      </c>
      <c r="G139">
        <f t="shared" si="59"/>
        <v>2.4814697613559322</v>
      </c>
      <c r="I139" s="2">
        <f t="shared" si="61"/>
        <v>3</v>
      </c>
      <c r="K139">
        <f t="shared" si="62"/>
        <v>62.075206815199316</v>
      </c>
      <c r="L139" s="2">
        <f t="shared" si="63"/>
        <v>-3</v>
      </c>
      <c r="M139">
        <f t="shared" si="64"/>
        <v>-62.07520681519933</v>
      </c>
      <c r="O139" s="2">
        <f t="shared" ref="O139:O170" si="65">B130-B139</f>
        <v>2</v>
      </c>
      <c r="P139">
        <f t="shared" ref="P139:P170" si="66">(1000*9.81*F139*O139*0.85)/1000000</f>
        <v>41.383471210132889</v>
      </c>
      <c r="R139" s="2">
        <f t="shared" si="55"/>
        <v>11</v>
      </c>
      <c r="S139">
        <f t="shared" si="56"/>
        <v>227.60909165573088</v>
      </c>
      <c r="T139">
        <f t="shared" si="57"/>
        <v>788.58356331411153</v>
      </c>
      <c r="V139" s="2">
        <f t="shared" si="52"/>
        <v>10</v>
      </c>
      <c r="W139">
        <f t="shared" si="53"/>
        <v>206.91735605066444</v>
      </c>
      <c r="Y139">
        <f t="shared" si="54"/>
        <v>716.89414846737407</v>
      </c>
    </row>
    <row r="140" spans="1:25" x14ac:dyDescent="0.25">
      <c r="A140" s="1">
        <v>138000</v>
      </c>
      <c r="B140" s="2">
        <v>62</v>
      </c>
      <c r="C140" s="2">
        <f>Table1[[#This Row],[Elev_CEM1]]-B160</f>
        <v>11</v>
      </c>
      <c r="D140">
        <f>Table1[[#This Row],[distance]]/$A$179</f>
        <v>0.77966101694915257</v>
      </c>
      <c r="E140">
        <f t="shared" si="60"/>
        <v>16.6535593220339</v>
      </c>
      <c r="F140" s="8">
        <f t="shared" si="58"/>
        <v>2082.985566101695</v>
      </c>
      <c r="G140">
        <f t="shared" si="59"/>
        <v>2.0829855661016952</v>
      </c>
      <c r="I140" s="2">
        <f t="shared" si="61"/>
        <v>4</v>
      </c>
      <c r="K140">
        <f t="shared" si="62"/>
        <v>69.475900571755929</v>
      </c>
      <c r="L140" s="2">
        <f t="shared" si="63"/>
        <v>9</v>
      </c>
      <c r="M140">
        <f t="shared" si="64"/>
        <v>156.32077628645087</v>
      </c>
      <c r="O140" s="2">
        <f t="shared" si="65"/>
        <v>5</v>
      </c>
      <c r="P140">
        <f t="shared" si="66"/>
        <v>86.844875714694922</v>
      </c>
      <c r="R140" s="2">
        <f t="shared" si="55"/>
        <v>18</v>
      </c>
      <c r="S140">
        <f t="shared" si="56"/>
        <v>312.64155257290173</v>
      </c>
      <c r="T140">
        <f t="shared" si="57"/>
        <v>1083.1904287061782</v>
      </c>
      <c r="V140" s="2">
        <f t="shared" si="52"/>
        <v>18</v>
      </c>
      <c r="W140">
        <f t="shared" si="53"/>
        <v>312.64155257290173</v>
      </c>
      <c r="Y140">
        <f t="shared" si="54"/>
        <v>1083.1904287061782</v>
      </c>
    </row>
    <row r="141" spans="1:25" x14ac:dyDescent="0.25">
      <c r="A141" s="1">
        <v>139000</v>
      </c>
      <c r="B141" s="2">
        <v>70</v>
      </c>
      <c r="C141" s="2">
        <f>Table1[[#This Row],[Elev_CEM1]]-B161</f>
        <v>15</v>
      </c>
      <c r="D141">
        <f>Table1[[#This Row],[distance]]/$A$179</f>
        <v>0.78531073446327682</v>
      </c>
      <c r="E141">
        <f t="shared" si="60"/>
        <v>16.774237288135591</v>
      </c>
      <c r="F141" s="8">
        <f t="shared" si="58"/>
        <v>1398.7197762711864</v>
      </c>
      <c r="G141">
        <f t="shared" si="59"/>
        <v>1.3987197762711865</v>
      </c>
      <c r="I141" s="2">
        <f t="shared" si="61"/>
        <v>-4</v>
      </c>
      <c r="K141">
        <f t="shared" si="62"/>
        <v>-46.652899417749154</v>
      </c>
      <c r="L141" s="2">
        <f t="shared" si="63"/>
        <v>-2</v>
      </c>
      <c r="M141">
        <f t="shared" si="64"/>
        <v>-23.326449708874577</v>
      </c>
      <c r="O141" s="2">
        <f t="shared" si="65"/>
        <v>-7</v>
      </c>
      <c r="P141">
        <f t="shared" si="66"/>
        <v>-81.642573981061005</v>
      </c>
      <c r="R141" s="2">
        <f t="shared" si="55"/>
        <v>8</v>
      </c>
      <c r="S141">
        <f t="shared" si="56"/>
        <v>93.305798835498308</v>
      </c>
      <c r="T141">
        <f t="shared" si="57"/>
        <v>323.27100287742093</v>
      </c>
      <c r="V141" s="2">
        <f t="shared" si="52"/>
        <v>0</v>
      </c>
      <c r="W141">
        <f t="shared" si="53"/>
        <v>0</v>
      </c>
      <c r="Y141">
        <f t="shared" si="54"/>
        <v>0</v>
      </c>
    </row>
    <row r="142" spans="1:25" x14ac:dyDescent="0.25">
      <c r="A142" s="1">
        <v>140000</v>
      </c>
      <c r="B142" s="2">
        <v>64</v>
      </c>
      <c r="C142" s="2">
        <f>Table1[[#This Row],[Elev_CEM1]]-B162</f>
        <v>3</v>
      </c>
      <c r="D142">
        <f>Table1[[#This Row],[distance]]/$A$179</f>
        <v>0.79096045197740117</v>
      </c>
      <c r="E142">
        <f t="shared" si="60"/>
        <v>16.89491525423729</v>
      </c>
      <c r="F142" s="8">
        <f t="shared" si="58"/>
        <v>1972.295511864407</v>
      </c>
      <c r="G142">
        <f t="shared" si="59"/>
        <v>1.972295511864407</v>
      </c>
      <c r="I142" s="2">
        <f t="shared" si="61"/>
        <v>2</v>
      </c>
      <c r="K142">
        <f t="shared" si="62"/>
        <v>32.891972251362716</v>
      </c>
      <c r="L142" s="2">
        <f t="shared" si="63"/>
        <v>10</v>
      </c>
      <c r="M142">
        <f t="shared" si="64"/>
        <v>164.45986125681358</v>
      </c>
      <c r="O142" s="2">
        <f t="shared" si="65"/>
        <v>7</v>
      </c>
      <c r="P142">
        <f t="shared" si="66"/>
        <v>115.12190287976951</v>
      </c>
      <c r="R142" s="2">
        <f t="shared" si="55"/>
        <v>11</v>
      </c>
      <c r="S142">
        <f t="shared" si="56"/>
        <v>180.90584738249493</v>
      </c>
      <c r="T142">
        <f t="shared" si="57"/>
        <v>626.77363507528719</v>
      </c>
      <c r="V142" s="2">
        <f t="shared" si="52"/>
        <v>12</v>
      </c>
      <c r="W142">
        <f t="shared" si="53"/>
        <v>197.35183350817633</v>
      </c>
      <c r="Y142">
        <f t="shared" si="54"/>
        <v>683.75305644576815</v>
      </c>
    </row>
    <row r="143" spans="1:25" x14ac:dyDescent="0.25">
      <c r="A143" s="1">
        <v>141000</v>
      </c>
      <c r="B143" s="2">
        <v>73</v>
      </c>
      <c r="C143" s="2">
        <f>Table1[[#This Row],[Elev_CEM1]]-B163</f>
        <v>11</v>
      </c>
      <c r="D143">
        <f>Table1[[#This Row],[distance]]/$A$179</f>
        <v>0.79661016949152541</v>
      </c>
      <c r="E143">
        <f t="shared" si="60"/>
        <v>17.015593220338982</v>
      </c>
      <c r="F143" s="8">
        <f t="shared" si="58"/>
        <v>283.76904813559321</v>
      </c>
      <c r="G143">
        <f t="shared" si="59"/>
        <v>0.28376904813559323</v>
      </c>
      <c r="I143" s="2">
        <f t="shared" si="61"/>
        <v>-11</v>
      </c>
      <c r="K143">
        <f t="shared" si="62"/>
        <v>-26.028290286665083</v>
      </c>
      <c r="L143" s="2">
        <f t="shared" si="63"/>
        <v>-4</v>
      </c>
      <c r="M143">
        <f t="shared" si="64"/>
        <v>-9.4648328315145758</v>
      </c>
      <c r="O143" s="2">
        <f t="shared" si="65"/>
        <v>-5</v>
      </c>
      <c r="P143">
        <f t="shared" si="66"/>
        <v>-11.83104103939322</v>
      </c>
      <c r="R143" s="2">
        <f t="shared" si="55"/>
        <v>0</v>
      </c>
      <c r="S143">
        <f t="shared" si="56"/>
        <v>0</v>
      </c>
      <c r="T143">
        <f t="shared" si="57"/>
        <v>0</v>
      </c>
      <c r="V143" s="2">
        <f t="shared" si="52"/>
        <v>-1</v>
      </c>
      <c r="W143">
        <f t="shared" si="53"/>
        <v>-2.3662082078786439</v>
      </c>
      <c r="Y143">
        <f t="shared" si="54"/>
        <v>-8.1980596053446657</v>
      </c>
    </row>
    <row r="144" spans="1:25" x14ac:dyDescent="0.25">
      <c r="A144" s="1">
        <v>142000</v>
      </c>
      <c r="B144" s="2">
        <v>63</v>
      </c>
      <c r="C144" s="2">
        <f>Table1[[#This Row],[Elev_CEM1]]-B164</f>
        <v>9</v>
      </c>
      <c r="D144">
        <f>Table1[[#This Row],[distance]]/$A$179</f>
        <v>0.80225988700564976</v>
      </c>
      <c r="E144">
        <f t="shared" si="60"/>
        <v>17.136271186440677</v>
      </c>
      <c r="F144" s="8">
        <f t="shared" si="58"/>
        <v>1428.9079728813558</v>
      </c>
      <c r="G144">
        <f t="shared" si="59"/>
        <v>1.4289079728813558</v>
      </c>
      <c r="I144" s="2">
        <f t="shared" si="61"/>
        <v>7</v>
      </c>
      <c r="K144">
        <f t="shared" si="62"/>
        <v>83.404643923098291</v>
      </c>
      <c r="L144" s="2">
        <f t="shared" si="63"/>
        <v>3</v>
      </c>
      <c r="M144">
        <f t="shared" si="64"/>
        <v>35.744847395613562</v>
      </c>
      <c r="O144" s="2">
        <f t="shared" si="65"/>
        <v>11</v>
      </c>
      <c r="P144">
        <f t="shared" si="66"/>
        <v>131.06444045058305</v>
      </c>
      <c r="R144" s="2">
        <f t="shared" si="55"/>
        <v>13</v>
      </c>
      <c r="S144">
        <f t="shared" si="56"/>
        <v>154.89433871432541</v>
      </c>
      <c r="T144">
        <f t="shared" si="57"/>
        <v>536.65312168320031</v>
      </c>
      <c r="V144" s="2">
        <f t="shared" ref="V144:V175" si="67">B130-B144</f>
        <v>5</v>
      </c>
      <c r="W144">
        <f t="shared" ref="W144:W175" si="68">(1000*9.81*F144*V144*0.85)/1000000</f>
        <v>59.574745659355933</v>
      </c>
      <c r="Y144">
        <f t="shared" ref="Y144:Y179" si="69">(W144*8640*0.401)/1000</f>
        <v>206.40504680123095</v>
      </c>
    </row>
    <row r="145" spans="1:25" x14ac:dyDescent="0.25">
      <c r="A145" s="1">
        <v>143000</v>
      </c>
      <c r="B145" s="2">
        <v>68</v>
      </c>
      <c r="C145" s="2">
        <f>Table1[[#This Row],[Elev_CEM1]]-B165</f>
        <v>14</v>
      </c>
      <c r="D145">
        <f>Table1[[#This Row],[distance]]/$A$179</f>
        <v>0.80790960451977401</v>
      </c>
      <c r="E145">
        <f t="shared" si="60"/>
        <v>17.256949152542372</v>
      </c>
      <c r="F145" s="8">
        <f t="shared" si="58"/>
        <v>1151.1765640677966</v>
      </c>
      <c r="G145">
        <f t="shared" si="59"/>
        <v>1.1511765640677967</v>
      </c>
      <c r="I145" s="2">
        <f t="shared" si="61"/>
        <v>-4</v>
      </c>
      <c r="K145">
        <f t="shared" si="62"/>
        <v>-38.396343117917283</v>
      </c>
      <c r="L145" s="2">
        <f t="shared" si="63"/>
        <v>-2</v>
      </c>
      <c r="M145">
        <f t="shared" si="64"/>
        <v>-19.198171558958641</v>
      </c>
      <c r="O145" s="2">
        <f t="shared" si="65"/>
        <v>1</v>
      </c>
      <c r="P145">
        <f t="shared" si="66"/>
        <v>9.5990857794793207</v>
      </c>
      <c r="R145" s="2">
        <f t="shared" si="55"/>
        <v>12</v>
      </c>
      <c r="S145">
        <f t="shared" si="56"/>
        <v>115.18902935375185</v>
      </c>
      <c r="T145">
        <f t="shared" si="57"/>
        <v>399.08851866018284</v>
      </c>
      <c r="V145" s="2">
        <f t="shared" si="67"/>
        <v>-1</v>
      </c>
      <c r="W145">
        <f t="shared" si="68"/>
        <v>-9.5990857794793207</v>
      </c>
      <c r="Y145">
        <f t="shared" si="69"/>
        <v>-33.257376555015234</v>
      </c>
    </row>
    <row r="146" spans="1:25" x14ac:dyDescent="0.25">
      <c r="A146" s="1">
        <v>144000</v>
      </c>
      <c r="B146" s="2">
        <v>54</v>
      </c>
      <c r="C146" s="2">
        <f>Table1[[#This Row],[Elev_CEM1]]-B166</f>
        <v>-2</v>
      </c>
      <c r="D146">
        <f>Table1[[#This Row],[distance]]/$A$179</f>
        <v>0.81355932203389836</v>
      </c>
      <c r="E146">
        <f t="shared" si="60"/>
        <v>17.377627118644067</v>
      </c>
      <c r="F146" s="8">
        <f t="shared" si="58"/>
        <v>3767.4869369491526</v>
      </c>
      <c r="G146">
        <f t="shared" si="59"/>
        <v>3.7674869369491524</v>
      </c>
      <c r="I146" s="2">
        <f t="shared" si="61"/>
        <v>19</v>
      </c>
      <c r="K146">
        <f t="shared" si="62"/>
        <v>596.88860665125969</v>
      </c>
      <c r="L146" s="2">
        <f t="shared" si="63"/>
        <v>12</v>
      </c>
      <c r="M146">
        <f t="shared" si="64"/>
        <v>376.98227788500606</v>
      </c>
      <c r="O146" s="2">
        <f t="shared" si="65"/>
        <v>12</v>
      </c>
      <c r="P146">
        <f t="shared" si="66"/>
        <v>376.98227788500606</v>
      </c>
      <c r="R146" s="2">
        <f t="shared" si="55"/>
        <v>16</v>
      </c>
      <c r="S146">
        <f t="shared" si="56"/>
        <v>502.64303718000809</v>
      </c>
      <c r="T146">
        <f t="shared" si="57"/>
        <v>1741.4771723353433</v>
      </c>
      <c r="V146" s="2">
        <f t="shared" si="67"/>
        <v>9</v>
      </c>
      <c r="W146">
        <f t="shared" si="68"/>
        <v>282.73670841375457</v>
      </c>
      <c r="Y146">
        <f t="shared" si="69"/>
        <v>979.58090943863067</v>
      </c>
    </row>
    <row r="147" spans="1:25" x14ac:dyDescent="0.25">
      <c r="A147" s="1">
        <v>145000</v>
      </c>
      <c r="B147" s="2">
        <v>65</v>
      </c>
      <c r="C147" s="2">
        <f>Table1[[#This Row],[Elev_CEM1]]-B167</f>
        <v>13</v>
      </c>
      <c r="D147">
        <f>Table1[[#This Row],[distance]]/$A$179</f>
        <v>0.8192090395480226</v>
      </c>
      <c r="E147">
        <f t="shared" si="60"/>
        <v>17.498305084745763</v>
      </c>
      <c r="F147" s="8">
        <f t="shared" si="58"/>
        <v>729.54808474576271</v>
      </c>
      <c r="G147">
        <f t="shared" si="59"/>
        <v>0.72954808474576271</v>
      </c>
      <c r="I147" s="2">
        <f t="shared" si="61"/>
        <v>-2</v>
      </c>
      <c r="K147">
        <f t="shared" si="62"/>
        <v>-12.166673409305085</v>
      </c>
      <c r="L147" s="2">
        <f t="shared" si="63"/>
        <v>-3</v>
      </c>
      <c r="M147">
        <f t="shared" si="64"/>
        <v>-18.250010113957625</v>
      </c>
      <c r="O147" s="2">
        <f t="shared" si="65"/>
        <v>1</v>
      </c>
      <c r="P147">
        <f t="shared" si="66"/>
        <v>6.0833367046525426</v>
      </c>
      <c r="R147" s="2">
        <f t="shared" si="55"/>
        <v>11</v>
      </c>
      <c r="S147">
        <f t="shared" si="56"/>
        <v>66.916703751177963</v>
      </c>
      <c r="T147">
        <f t="shared" si="57"/>
        <v>231.84228848448123</v>
      </c>
      <c r="V147" s="2">
        <f t="shared" si="67"/>
        <v>6</v>
      </c>
      <c r="W147">
        <f t="shared" si="68"/>
        <v>36.50002022791525</v>
      </c>
      <c r="Y147">
        <f t="shared" si="69"/>
        <v>126.45943008244429</v>
      </c>
    </row>
    <row r="148" spans="1:25" x14ac:dyDescent="0.25">
      <c r="A148" s="1">
        <v>146000</v>
      </c>
      <c r="B148" s="2">
        <v>62</v>
      </c>
      <c r="C148" s="2">
        <f>Table1[[#This Row],[Elev_CEM1]]-B168</f>
        <v>13</v>
      </c>
      <c r="D148">
        <f>Table1[[#This Row],[distance]]/$A$179</f>
        <v>0.82485875706214684</v>
      </c>
      <c r="E148">
        <f t="shared" si="60"/>
        <v>17.618983050847454</v>
      </c>
      <c r="F148" s="8">
        <f t="shared" si="58"/>
        <v>2056.8224623728811</v>
      </c>
      <c r="G148">
        <f t="shared" si="59"/>
        <v>2.0568224623728812</v>
      </c>
      <c r="I148" s="2">
        <f t="shared" si="61"/>
        <v>6</v>
      </c>
      <c r="K148">
        <f t="shared" si="62"/>
        <v>102.90488461497762</v>
      </c>
      <c r="L148" s="2">
        <f t="shared" si="63"/>
        <v>8</v>
      </c>
      <c r="M148">
        <f t="shared" si="64"/>
        <v>137.20651281997013</v>
      </c>
      <c r="O148" s="2">
        <f t="shared" si="65"/>
        <v>4</v>
      </c>
      <c r="P148">
        <f t="shared" si="66"/>
        <v>68.603256409985065</v>
      </c>
      <c r="R148" s="2">
        <f t="shared" si="55"/>
        <v>10</v>
      </c>
      <c r="S148">
        <f t="shared" si="56"/>
        <v>171.50814102496267</v>
      </c>
      <c r="T148">
        <f t="shared" si="57"/>
        <v>594.21396572072672</v>
      </c>
      <c r="V148" s="2">
        <f t="shared" si="67"/>
        <v>6</v>
      </c>
      <c r="W148">
        <f t="shared" si="68"/>
        <v>102.9048846149776</v>
      </c>
      <c r="Y148">
        <f t="shared" si="69"/>
        <v>356.528379432436</v>
      </c>
    </row>
    <row r="149" spans="1:25" x14ac:dyDescent="0.25">
      <c r="A149" s="1">
        <v>147000</v>
      </c>
      <c r="B149" s="2">
        <v>62</v>
      </c>
      <c r="C149" s="2">
        <f>Table1[[#This Row],[Elev_CEM1]]-B169</f>
        <v>16</v>
      </c>
      <c r="D149">
        <f>Table1[[#This Row],[distance]]/$A$179</f>
        <v>0.83050847457627119</v>
      </c>
      <c r="E149">
        <f t="shared" si="60"/>
        <v>17.739661016949153</v>
      </c>
      <c r="F149" s="8">
        <f t="shared" si="58"/>
        <v>1479.2216338983053</v>
      </c>
      <c r="G149">
        <f t="shared" si="59"/>
        <v>1.4792216338983053</v>
      </c>
      <c r="I149" s="2">
        <f t="shared" si="61"/>
        <v>-8</v>
      </c>
      <c r="K149">
        <f t="shared" si="62"/>
        <v>-98.675916754088149</v>
      </c>
      <c r="L149" s="2">
        <f t="shared" si="63"/>
        <v>2</v>
      </c>
      <c r="M149">
        <f t="shared" si="64"/>
        <v>24.668979188522037</v>
      </c>
      <c r="O149" s="2">
        <f t="shared" si="65"/>
        <v>0</v>
      </c>
      <c r="P149">
        <f t="shared" si="66"/>
        <v>0</v>
      </c>
      <c r="R149" s="2">
        <f t="shared" ref="R149:R180" si="70">B130-B149</f>
        <v>6</v>
      </c>
      <c r="S149">
        <f t="shared" ref="S149:S180" si="71">(1000*9.81*F149*R149*0.85)/1000000</f>
        <v>74.006937565566105</v>
      </c>
      <c r="T149">
        <f t="shared" ref="T149:T180" si="72">(S149*8640*0.401)/1000</f>
        <v>256.40739616716297</v>
      </c>
      <c r="V149" s="2">
        <f t="shared" si="67"/>
        <v>12</v>
      </c>
      <c r="W149">
        <f t="shared" si="68"/>
        <v>148.01387513113221</v>
      </c>
      <c r="Y149">
        <f t="shared" si="69"/>
        <v>512.81479233432594</v>
      </c>
    </row>
    <row r="150" spans="1:25" x14ac:dyDescent="0.25">
      <c r="A150" s="1">
        <v>148000</v>
      </c>
      <c r="B150" s="2">
        <v>65</v>
      </c>
      <c r="C150" s="2">
        <f>Table1[[#This Row],[Elev_CEM1]]-B170</f>
        <v>17</v>
      </c>
      <c r="D150">
        <f>Table1[[#This Row],[distance]]/$A$179</f>
        <v>0.83615819209039544</v>
      </c>
      <c r="E150">
        <f t="shared" si="60"/>
        <v>17.860338983050845</v>
      </c>
      <c r="F150" s="8">
        <f t="shared" ref="F150:F181" si="73">(1000*E150*C130*0.85*9.81)/1000</f>
        <v>446.78530983050842</v>
      </c>
      <c r="G150">
        <f t="shared" ref="G150:G181" si="74">F150/1000</f>
        <v>0.4467853098305084</v>
      </c>
      <c r="I150" s="2">
        <f t="shared" si="61"/>
        <v>0</v>
      </c>
      <c r="K150">
        <f t="shared" si="62"/>
        <v>0</v>
      </c>
      <c r="L150" s="2">
        <f t="shared" si="63"/>
        <v>8</v>
      </c>
      <c r="M150">
        <f t="shared" si="64"/>
        <v>29.804154448173556</v>
      </c>
      <c r="O150" s="2">
        <f t="shared" si="65"/>
        <v>5</v>
      </c>
      <c r="P150">
        <f t="shared" si="66"/>
        <v>18.627596530108473</v>
      </c>
      <c r="R150" s="2">
        <f t="shared" si="70"/>
        <v>2</v>
      </c>
      <c r="S150">
        <f t="shared" si="71"/>
        <v>7.4510386120433889</v>
      </c>
      <c r="T150">
        <f t="shared" si="72"/>
        <v>25.81516641683001</v>
      </c>
      <c r="V150" s="2">
        <f t="shared" si="67"/>
        <v>4</v>
      </c>
      <c r="W150">
        <f t="shared" si="68"/>
        <v>14.902077224086778</v>
      </c>
      <c r="Y150">
        <f t="shared" si="69"/>
        <v>51.63033283366002</v>
      </c>
    </row>
    <row r="151" spans="1:25" x14ac:dyDescent="0.25">
      <c r="A151" s="1">
        <v>149000</v>
      </c>
      <c r="B151" s="2">
        <v>65</v>
      </c>
      <c r="C151" s="2">
        <f>Table1[[#This Row],[Elev_CEM1]]-B171</f>
        <v>8</v>
      </c>
      <c r="D151">
        <f>Table1[[#This Row],[distance]]/$A$179</f>
        <v>0.84180790960451979</v>
      </c>
      <c r="E151">
        <f t="shared" si="60"/>
        <v>17.981016949152544</v>
      </c>
      <c r="F151" s="8">
        <f t="shared" si="73"/>
        <v>299.86941966101699</v>
      </c>
      <c r="G151">
        <f t="shared" si="74"/>
        <v>0.29986941966101699</v>
      </c>
      <c r="I151" s="2">
        <f t="shared" si="61"/>
        <v>-3</v>
      </c>
      <c r="K151">
        <f t="shared" si="62"/>
        <v>-7.5013834675301707</v>
      </c>
      <c r="L151" s="2">
        <f t="shared" si="63"/>
        <v>-2</v>
      </c>
      <c r="M151">
        <f t="shared" si="64"/>
        <v>-5.0009223116867805</v>
      </c>
      <c r="O151" s="2">
        <f t="shared" si="65"/>
        <v>-1</v>
      </c>
      <c r="P151">
        <f t="shared" si="66"/>
        <v>-2.5004611558433902</v>
      </c>
      <c r="R151" s="2">
        <f t="shared" si="70"/>
        <v>-2</v>
      </c>
      <c r="S151">
        <f t="shared" si="71"/>
        <v>-5.0009223116867805</v>
      </c>
      <c r="T151">
        <f t="shared" si="72"/>
        <v>-17.326395477962489</v>
      </c>
      <c r="V151" s="2">
        <f t="shared" si="67"/>
        <v>1</v>
      </c>
      <c r="W151">
        <f t="shared" si="68"/>
        <v>2.5004611558433902</v>
      </c>
      <c r="Y151">
        <f t="shared" si="69"/>
        <v>8.6631977389812445</v>
      </c>
    </row>
    <row r="152" spans="1:25" x14ac:dyDescent="0.25">
      <c r="A152" s="1">
        <v>150000</v>
      </c>
      <c r="B152" s="2">
        <v>63</v>
      </c>
      <c r="C152" s="2">
        <f>Table1[[#This Row],[Elev_CEM1]]-B172</f>
        <v>14</v>
      </c>
      <c r="D152">
        <f>Table1[[#This Row],[distance]]/$A$179</f>
        <v>0.84745762711864403</v>
      </c>
      <c r="E152">
        <f t="shared" si="60"/>
        <v>18.101694915254235</v>
      </c>
      <c r="F152" s="8">
        <f t="shared" si="73"/>
        <v>0</v>
      </c>
      <c r="G152">
        <f t="shared" si="74"/>
        <v>0</v>
      </c>
      <c r="I152" s="2">
        <f t="shared" si="61"/>
        <v>-1</v>
      </c>
      <c r="K152">
        <f t="shared" si="62"/>
        <v>0</v>
      </c>
      <c r="L152" s="2">
        <f t="shared" si="63"/>
        <v>5</v>
      </c>
      <c r="M152">
        <f t="shared" si="64"/>
        <v>0</v>
      </c>
      <c r="O152" s="2">
        <f t="shared" si="65"/>
        <v>10</v>
      </c>
      <c r="P152">
        <f t="shared" si="66"/>
        <v>0</v>
      </c>
      <c r="R152" s="2">
        <f t="shared" si="70"/>
        <v>8</v>
      </c>
      <c r="S152">
        <f t="shared" si="71"/>
        <v>0</v>
      </c>
      <c r="T152">
        <f t="shared" si="72"/>
        <v>0</v>
      </c>
      <c r="V152" s="2">
        <f t="shared" si="67"/>
        <v>3</v>
      </c>
      <c r="W152">
        <f t="shared" si="68"/>
        <v>0</v>
      </c>
      <c r="Y152">
        <f t="shared" si="69"/>
        <v>0</v>
      </c>
    </row>
    <row r="153" spans="1:25" x14ac:dyDescent="0.25">
      <c r="A153" s="1">
        <v>151000</v>
      </c>
      <c r="B153" s="2">
        <v>54</v>
      </c>
      <c r="C153" s="2">
        <f>Table1[[#This Row],[Elev_CEM1]]-B173</f>
        <v>2</v>
      </c>
      <c r="D153">
        <f>Table1[[#This Row],[distance]]/$A$179</f>
        <v>0.85310734463276838</v>
      </c>
      <c r="E153">
        <f t="shared" si="60"/>
        <v>18.22237288135593</v>
      </c>
      <c r="F153" s="8">
        <f t="shared" si="73"/>
        <v>2583.1033566101696</v>
      </c>
      <c r="G153">
        <f t="shared" si="74"/>
        <v>2.5831033566101698</v>
      </c>
      <c r="I153" s="2">
        <f t="shared" si="61"/>
        <v>11</v>
      </c>
      <c r="K153">
        <f t="shared" si="62"/>
        <v>236.93128073003285</v>
      </c>
      <c r="L153" s="2">
        <f t="shared" si="63"/>
        <v>0</v>
      </c>
      <c r="M153">
        <f t="shared" si="64"/>
        <v>0</v>
      </c>
      <c r="O153" s="2">
        <f t="shared" si="65"/>
        <v>9</v>
      </c>
      <c r="P153">
        <f t="shared" si="66"/>
        <v>193.85286605184507</v>
      </c>
      <c r="R153" s="2">
        <f t="shared" si="70"/>
        <v>14</v>
      </c>
      <c r="S153">
        <f t="shared" si="71"/>
        <v>301.54890274731457</v>
      </c>
      <c r="T153">
        <f t="shared" si="72"/>
        <v>1044.758390414456</v>
      </c>
      <c r="V153" s="2">
        <f t="shared" si="67"/>
        <v>12</v>
      </c>
      <c r="W153">
        <f t="shared" si="68"/>
        <v>258.47048806912676</v>
      </c>
      <c r="Y153">
        <f t="shared" si="69"/>
        <v>895.50719178381939</v>
      </c>
    </row>
    <row r="154" spans="1:25" x14ac:dyDescent="0.25">
      <c r="A154" s="1">
        <v>152000</v>
      </c>
      <c r="B154" s="2">
        <v>57</v>
      </c>
      <c r="C154" s="2">
        <f>Table1[[#This Row],[Elev_CEM1]]-B174</f>
        <v>5</v>
      </c>
      <c r="D154">
        <f>Table1[[#This Row],[distance]]/$A$179</f>
        <v>0.85875706214689262</v>
      </c>
      <c r="E154">
        <f t="shared" si="60"/>
        <v>18.343050847457626</v>
      </c>
      <c r="F154" s="8">
        <f t="shared" si="73"/>
        <v>1682.4888244067797</v>
      </c>
      <c r="G154">
        <f t="shared" si="74"/>
        <v>1.6824888244067797</v>
      </c>
      <c r="I154" s="2">
        <f t="shared" si="61"/>
        <v>8</v>
      </c>
      <c r="K154">
        <f t="shared" si="62"/>
        <v>112.23546449852745</v>
      </c>
      <c r="L154" s="2">
        <f t="shared" si="63"/>
        <v>8</v>
      </c>
      <c r="M154">
        <f t="shared" si="64"/>
        <v>112.23546449852745</v>
      </c>
      <c r="O154" s="2">
        <f t="shared" si="65"/>
        <v>11</v>
      </c>
      <c r="P154">
        <f t="shared" si="66"/>
        <v>154.32376368547526</v>
      </c>
      <c r="R154" s="2">
        <f t="shared" si="70"/>
        <v>17</v>
      </c>
      <c r="S154">
        <f t="shared" si="71"/>
        <v>238.50036205937084</v>
      </c>
      <c r="T154">
        <f t="shared" si="72"/>
        <v>826.31789440537864</v>
      </c>
      <c r="V154" s="2">
        <f t="shared" si="67"/>
        <v>5</v>
      </c>
      <c r="W154">
        <f t="shared" si="68"/>
        <v>70.147165311579656</v>
      </c>
      <c r="Y154">
        <f t="shared" si="69"/>
        <v>243.03467482511135</v>
      </c>
    </row>
    <row r="155" spans="1:25" x14ac:dyDescent="0.25">
      <c r="A155" s="1">
        <v>153000</v>
      </c>
      <c r="B155" s="2">
        <v>53</v>
      </c>
      <c r="C155" s="2">
        <f>Table1[[#This Row],[Elev_CEM1]]-B175</f>
        <v>-1</v>
      </c>
      <c r="D155">
        <f>Table1[[#This Row],[distance]]/$A$179</f>
        <v>0.86440677966101698</v>
      </c>
      <c r="E155">
        <f t="shared" si="60"/>
        <v>18.463728813559321</v>
      </c>
      <c r="F155" s="8">
        <f t="shared" si="73"/>
        <v>3233.1558569491526</v>
      </c>
      <c r="G155">
        <f t="shared" si="74"/>
        <v>3.2331558569491525</v>
      </c>
      <c r="I155" s="2">
        <f t="shared" si="61"/>
        <v>10</v>
      </c>
      <c r="K155">
        <f t="shared" si="62"/>
        <v>269.59670113170506</v>
      </c>
      <c r="L155" s="2">
        <f t="shared" si="63"/>
        <v>9</v>
      </c>
      <c r="M155">
        <f t="shared" si="64"/>
        <v>242.63703101853457</v>
      </c>
      <c r="O155" s="2">
        <f t="shared" si="65"/>
        <v>1</v>
      </c>
      <c r="P155">
        <f t="shared" si="66"/>
        <v>26.959670113170507</v>
      </c>
      <c r="R155" s="2">
        <f t="shared" si="70"/>
        <v>16</v>
      </c>
      <c r="S155">
        <f t="shared" si="71"/>
        <v>431.35472181072811</v>
      </c>
      <c r="T155">
        <f t="shared" si="72"/>
        <v>1494.4888233743209</v>
      </c>
      <c r="V155" s="2">
        <f t="shared" si="67"/>
        <v>17</v>
      </c>
      <c r="W155">
        <f t="shared" si="68"/>
        <v>458.31439192389865</v>
      </c>
      <c r="Y155">
        <f t="shared" si="69"/>
        <v>1587.8943748352165</v>
      </c>
    </row>
    <row r="156" spans="1:25" x14ac:dyDescent="0.25">
      <c r="A156" s="1">
        <v>154000</v>
      </c>
      <c r="B156" s="2">
        <v>49</v>
      </c>
      <c r="C156" s="2">
        <f>Table1[[#This Row],[Elev_CEM1]]-B176</f>
        <v>-3</v>
      </c>
      <c r="D156">
        <f>Table1[[#This Row],[distance]]/$A$179</f>
        <v>0.87005649717514122</v>
      </c>
      <c r="E156">
        <f t="shared" si="60"/>
        <v>18.584406779661016</v>
      </c>
      <c r="F156" s="8">
        <f t="shared" si="73"/>
        <v>3099.321518644068</v>
      </c>
      <c r="G156">
        <f t="shared" si="74"/>
        <v>3.0993215186440679</v>
      </c>
      <c r="I156" s="2">
        <f t="shared" si="61"/>
        <v>5</v>
      </c>
      <c r="K156">
        <f t="shared" si="62"/>
        <v>129.21846241606778</v>
      </c>
      <c r="L156" s="2">
        <f t="shared" si="63"/>
        <v>13</v>
      </c>
      <c r="M156">
        <f t="shared" si="64"/>
        <v>335.96800228177631</v>
      </c>
      <c r="O156" s="2">
        <f t="shared" si="65"/>
        <v>16</v>
      </c>
      <c r="P156">
        <f t="shared" si="66"/>
        <v>413.499079731417</v>
      </c>
      <c r="R156" s="2">
        <f t="shared" si="70"/>
        <v>17</v>
      </c>
      <c r="S156">
        <f t="shared" si="71"/>
        <v>439.34277221463054</v>
      </c>
      <c r="T156">
        <f t="shared" si="72"/>
        <v>1522.1645423256975</v>
      </c>
      <c r="V156" s="2">
        <f t="shared" si="67"/>
        <v>15</v>
      </c>
      <c r="W156">
        <f t="shared" si="68"/>
        <v>387.6553872482034</v>
      </c>
      <c r="Y156">
        <f t="shared" si="69"/>
        <v>1343.0863608756156</v>
      </c>
    </row>
    <row r="157" spans="1:25" x14ac:dyDescent="0.25">
      <c r="A157" s="1">
        <v>155000</v>
      </c>
      <c r="B157" s="2">
        <v>54</v>
      </c>
      <c r="C157" s="2">
        <f>Table1[[#This Row],[Elev_CEM1]]-B177</f>
        <v>5</v>
      </c>
      <c r="D157">
        <f>Table1[[#This Row],[distance]]/$A$179</f>
        <v>0.87570621468926557</v>
      </c>
      <c r="E157">
        <f t="shared" si="60"/>
        <v>18.705084745762711</v>
      </c>
      <c r="F157" s="8">
        <f t="shared" si="73"/>
        <v>1871.6681898305083</v>
      </c>
      <c r="G157">
        <f t="shared" si="74"/>
        <v>1.8716681898305083</v>
      </c>
      <c r="I157" s="2">
        <f t="shared" si="61"/>
        <v>3</v>
      </c>
      <c r="K157">
        <f t="shared" si="62"/>
        <v>46.820715602705079</v>
      </c>
      <c r="L157" s="2">
        <f t="shared" si="63"/>
        <v>11</v>
      </c>
      <c r="M157">
        <f t="shared" si="64"/>
        <v>171.67595720991864</v>
      </c>
      <c r="O157" s="2">
        <f t="shared" si="65"/>
        <v>8</v>
      </c>
      <c r="P157">
        <f t="shared" si="66"/>
        <v>124.85524160721356</v>
      </c>
      <c r="R157" s="2">
        <f t="shared" si="70"/>
        <v>12</v>
      </c>
      <c r="S157">
        <f t="shared" si="71"/>
        <v>187.28286241082034</v>
      </c>
      <c r="T157">
        <f t="shared" si="72"/>
        <v>648.86769642302465</v>
      </c>
      <c r="V157" s="2">
        <f t="shared" si="67"/>
        <v>19</v>
      </c>
      <c r="W157">
        <f t="shared" si="68"/>
        <v>296.53119881713224</v>
      </c>
      <c r="Y157">
        <f t="shared" si="69"/>
        <v>1027.3738526697891</v>
      </c>
    </row>
    <row r="158" spans="1:25" x14ac:dyDescent="0.25">
      <c r="A158" s="1">
        <v>156000</v>
      </c>
      <c r="B158" s="2">
        <v>55</v>
      </c>
      <c r="C158" s="2">
        <f>Table1[[#This Row],[Elev_CEM1]]-B178</f>
        <v>2</v>
      </c>
      <c r="D158">
        <f>Table1[[#This Row],[distance]]/$A$179</f>
        <v>0.88135593220338981</v>
      </c>
      <c r="E158">
        <f t="shared" si="60"/>
        <v>18.825762711864407</v>
      </c>
      <c r="F158" s="8">
        <f t="shared" si="73"/>
        <v>1726.7648461016947</v>
      </c>
      <c r="G158">
        <f t="shared" si="74"/>
        <v>1.7267648461016947</v>
      </c>
      <c r="I158" s="2">
        <f t="shared" si="61"/>
        <v>-2</v>
      </c>
      <c r="K158">
        <f t="shared" si="62"/>
        <v>-28.797257338437962</v>
      </c>
      <c r="L158" s="2">
        <f t="shared" si="63"/>
        <v>10</v>
      </c>
      <c r="M158">
        <f t="shared" si="64"/>
        <v>143.98628669218982</v>
      </c>
      <c r="O158" s="2">
        <f t="shared" si="65"/>
        <v>7</v>
      </c>
      <c r="P158">
        <f t="shared" si="66"/>
        <v>100.79040068453288</v>
      </c>
      <c r="R158" s="2">
        <f t="shared" si="70"/>
        <v>11</v>
      </c>
      <c r="S158">
        <f t="shared" si="71"/>
        <v>158.38491536140879</v>
      </c>
      <c r="T158">
        <f t="shared" si="72"/>
        <v>548.7467131577514</v>
      </c>
      <c r="V158" s="2">
        <f t="shared" si="67"/>
        <v>8</v>
      </c>
      <c r="W158">
        <f t="shared" si="68"/>
        <v>115.18902935375185</v>
      </c>
      <c r="Y158">
        <f t="shared" si="69"/>
        <v>399.08851866018284</v>
      </c>
    </row>
    <row r="159" spans="1:25" x14ac:dyDescent="0.25">
      <c r="A159" s="1">
        <v>157000</v>
      </c>
      <c r="B159" s="2">
        <v>50</v>
      </c>
      <c r="C159" s="2">
        <f>Table1[[#This Row],[Elev_CEM1]]-B179</f>
        <v>-4</v>
      </c>
      <c r="D159">
        <f>Table1[[#This Row],[distance]]/$A$179</f>
        <v>0.88700564971751417</v>
      </c>
      <c r="E159">
        <f t="shared" si="60"/>
        <v>18.946440677966102</v>
      </c>
      <c r="F159" s="8">
        <f t="shared" si="73"/>
        <v>2527.7583294915253</v>
      </c>
      <c r="G159">
        <f t="shared" si="74"/>
        <v>2.5277583294915251</v>
      </c>
      <c r="I159" s="2">
        <f t="shared" si="61"/>
        <v>-1</v>
      </c>
      <c r="K159">
        <f t="shared" si="62"/>
        <v>-21.077712830465082</v>
      </c>
      <c r="L159" s="2">
        <f t="shared" si="63"/>
        <v>13</v>
      </c>
      <c r="M159">
        <f t="shared" si="64"/>
        <v>274.0102667960461</v>
      </c>
      <c r="O159" s="2">
        <f t="shared" si="65"/>
        <v>15</v>
      </c>
      <c r="P159">
        <f t="shared" si="66"/>
        <v>316.16569245697622</v>
      </c>
      <c r="R159" s="2">
        <f t="shared" si="70"/>
        <v>12</v>
      </c>
      <c r="S159">
        <f t="shared" si="71"/>
        <v>252.93255396558101</v>
      </c>
      <c r="T159">
        <f t="shared" si="72"/>
        <v>876.32024377131052</v>
      </c>
      <c r="V159" s="2">
        <f t="shared" si="67"/>
        <v>18</v>
      </c>
      <c r="W159">
        <f t="shared" si="68"/>
        <v>379.39883094837154</v>
      </c>
      <c r="Y159">
        <f t="shared" si="69"/>
        <v>1314.4803656569661</v>
      </c>
    </row>
    <row r="160" spans="1:25" x14ac:dyDescent="0.25">
      <c r="A160" s="1">
        <v>158000</v>
      </c>
      <c r="B160" s="2">
        <v>51</v>
      </c>
      <c r="C160" s="2">
        <f>Table1[[#This Row],[Elev_CEM1]]-B180</f>
        <v>51</v>
      </c>
      <c r="D160">
        <f>Table1[[#This Row],[distance]]/$A$179</f>
        <v>0.89265536723163841</v>
      </c>
      <c r="E160">
        <f t="shared" si="60"/>
        <v>19.067118644067797</v>
      </c>
      <c r="F160" s="8">
        <f t="shared" si="73"/>
        <v>1748.9028569491527</v>
      </c>
      <c r="G160">
        <f t="shared" si="74"/>
        <v>1.7489028569491527</v>
      </c>
      <c r="I160" s="2">
        <f t="shared" si="61"/>
        <v>3</v>
      </c>
      <c r="K160">
        <f t="shared" si="62"/>
        <v>43.749679418011532</v>
      </c>
      <c r="L160" s="2">
        <f t="shared" si="63"/>
        <v>3</v>
      </c>
      <c r="M160">
        <f t="shared" si="64"/>
        <v>43.749679418011524</v>
      </c>
      <c r="O160" s="2">
        <f t="shared" si="65"/>
        <v>14</v>
      </c>
      <c r="P160">
        <f t="shared" si="66"/>
        <v>204.1651706173871</v>
      </c>
      <c r="R160" s="2">
        <f t="shared" si="70"/>
        <v>19</v>
      </c>
      <c r="S160">
        <f t="shared" si="71"/>
        <v>277.08130298073968</v>
      </c>
      <c r="T160">
        <f t="shared" si="72"/>
        <v>959.98696555918991</v>
      </c>
      <c r="V160" s="2">
        <f t="shared" si="67"/>
        <v>3</v>
      </c>
      <c r="W160">
        <f t="shared" si="68"/>
        <v>43.749679418011524</v>
      </c>
      <c r="Y160">
        <f t="shared" si="69"/>
        <v>151.57688929881945</v>
      </c>
    </row>
    <row r="161" spans="1:25" x14ac:dyDescent="0.25">
      <c r="A161" s="1">
        <v>159000</v>
      </c>
      <c r="B161" s="2">
        <v>55</v>
      </c>
      <c r="C161" s="2">
        <f>Table1[[#This Row],[Elev_CEM1]]-B181</f>
        <v>55</v>
      </c>
      <c r="D161">
        <f>Table1[[#This Row],[distance]]/$A$179</f>
        <v>0.89830508474576276</v>
      </c>
      <c r="E161">
        <f t="shared" si="60"/>
        <v>19.187796610169492</v>
      </c>
      <c r="F161" s="8">
        <f t="shared" si="73"/>
        <v>2399.9616305084746</v>
      </c>
      <c r="G161">
        <f t="shared" si="74"/>
        <v>2.3999616305084746</v>
      </c>
      <c r="I161" s="2">
        <f t="shared" si="61"/>
        <v>0</v>
      </c>
      <c r="K161">
        <f t="shared" si="62"/>
        <v>0</v>
      </c>
      <c r="L161" s="2">
        <f t="shared" si="63"/>
        <v>2</v>
      </c>
      <c r="M161">
        <f t="shared" si="64"/>
        <v>40.024160111989829</v>
      </c>
      <c r="O161" s="2">
        <f t="shared" si="65"/>
        <v>8</v>
      </c>
      <c r="P161">
        <f t="shared" si="66"/>
        <v>160.09664044795932</v>
      </c>
      <c r="R161" s="2">
        <f t="shared" si="70"/>
        <v>9</v>
      </c>
      <c r="S161">
        <f t="shared" si="71"/>
        <v>180.10872050395423</v>
      </c>
      <c r="T161">
        <f t="shared" si="72"/>
        <v>624.01187740682008</v>
      </c>
      <c r="V161" s="2">
        <f t="shared" si="67"/>
        <v>10</v>
      </c>
      <c r="W161">
        <f t="shared" si="68"/>
        <v>200.12080055994912</v>
      </c>
      <c r="Y161">
        <f t="shared" si="69"/>
        <v>693.34653045202208</v>
      </c>
    </row>
    <row r="162" spans="1:25" x14ac:dyDescent="0.25">
      <c r="A162" s="1">
        <v>160000</v>
      </c>
      <c r="B162" s="2">
        <v>61</v>
      </c>
      <c r="C162" s="2">
        <f>Table1[[#This Row],[Elev_CEM1]]-B182</f>
        <v>61</v>
      </c>
      <c r="D162">
        <f>Table1[[#This Row],[distance]]/$A$179</f>
        <v>0.903954802259887</v>
      </c>
      <c r="E162">
        <f t="shared" ref="E162:E193" si="75">21.36*D162</f>
        <v>19.308474576271188</v>
      </c>
      <c r="F162" s="8">
        <f t="shared" si="73"/>
        <v>483.01114576271186</v>
      </c>
      <c r="G162">
        <f t="shared" si="74"/>
        <v>0.48301114576271187</v>
      </c>
      <c r="I162" s="2">
        <f t="shared" si="61"/>
        <v>-11</v>
      </c>
      <c r="K162">
        <f t="shared" si="62"/>
        <v>-44.303472828366104</v>
      </c>
      <c r="L162" s="2">
        <f t="shared" si="63"/>
        <v>-8</v>
      </c>
      <c r="M162">
        <f t="shared" si="64"/>
        <v>-32.220707511538983</v>
      </c>
      <c r="O162" s="2">
        <f t="shared" si="65"/>
        <v>-7</v>
      </c>
      <c r="P162">
        <f t="shared" si="66"/>
        <v>-28.193119072596609</v>
      </c>
      <c r="R162" s="2">
        <f t="shared" si="70"/>
        <v>12</v>
      </c>
      <c r="S162">
        <f t="shared" si="71"/>
        <v>48.331061267308471</v>
      </c>
      <c r="T162">
        <f t="shared" si="72"/>
        <v>167.44972810916764</v>
      </c>
      <c r="V162" s="2">
        <f t="shared" si="67"/>
        <v>1</v>
      </c>
      <c r="W162">
        <f t="shared" si="68"/>
        <v>4.0275884389423728</v>
      </c>
      <c r="Y162">
        <f t="shared" si="69"/>
        <v>13.954144009097304</v>
      </c>
    </row>
    <row r="163" spans="1:25" x14ac:dyDescent="0.25">
      <c r="A163" s="1">
        <v>161000</v>
      </c>
      <c r="B163" s="2">
        <v>62</v>
      </c>
      <c r="C163" s="2">
        <f>Table1[[#This Row],[Elev_CEM1]]-B183</f>
        <v>62</v>
      </c>
      <c r="D163">
        <f>Table1[[#This Row],[distance]]/$A$179</f>
        <v>0.90960451977401124</v>
      </c>
      <c r="E163">
        <f t="shared" si="75"/>
        <v>19.429152542372879</v>
      </c>
      <c r="F163" s="8">
        <f t="shared" si="73"/>
        <v>1782.1098732203386</v>
      </c>
      <c r="G163">
        <f t="shared" si="74"/>
        <v>1.7821098732203386</v>
      </c>
      <c r="I163" s="2">
        <f t="shared" si="61"/>
        <v>-11</v>
      </c>
      <c r="K163">
        <f t="shared" si="62"/>
        <v>-163.46135495632572</v>
      </c>
      <c r="L163" s="2">
        <f t="shared" si="63"/>
        <v>-13</v>
      </c>
      <c r="M163">
        <f t="shared" si="64"/>
        <v>-193.18160131202131</v>
      </c>
      <c r="O163" s="2">
        <f t="shared" si="65"/>
        <v>-5</v>
      </c>
      <c r="P163">
        <f t="shared" si="66"/>
        <v>-74.300615889238955</v>
      </c>
      <c r="R163" s="2">
        <f t="shared" si="70"/>
        <v>1</v>
      </c>
      <c r="S163">
        <f t="shared" si="71"/>
        <v>14.860123177847793</v>
      </c>
      <c r="T163">
        <f t="shared" si="72"/>
        <v>51.484977166898581</v>
      </c>
      <c r="V163" s="2">
        <f t="shared" si="67"/>
        <v>0</v>
      </c>
      <c r="W163">
        <f t="shared" si="68"/>
        <v>0</v>
      </c>
      <c r="Y163">
        <f t="shared" si="69"/>
        <v>0</v>
      </c>
    </row>
    <row r="164" spans="1:25" x14ac:dyDescent="0.25">
      <c r="A164" s="1">
        <v>162000</v>
      </c>
      <c r="B164" s="2">
        <v>54</v>
      </c>
      <c r="C164" s="2">
        <f>Table1[[#This Row],[Elev_CEM1]]-B184</f>
        <v>54</v>
      </c>
      <c r="D164">
        <f>Table1[[#This Row],[distance]]/$A$179</f>
        <v>0.9152542372881356</v>
      </c>
      <c r="E164">
        <f t="shared" si="75"/>
        <v>19.549830508474574</v>
      </c>
      <c r="F164" s="8">
        <f t="shared" si="73"/>
        <v>1467.1463552542371</v>
      </c>
      <c r="G164">
        <f t="shared" si="74"/>
        <v>1.467146355254237</v>
      </c>
      <c r="I164" s="2">
        <f t="shared" si="61"/>
        <v>1</v>
      </c>
      <c r="K164">
        <f t="shared" si="62"/>
        <v>12.233799883287455</v>
      </c>
      <c r="L164" s="2">
        <f t="shared" si="63"/>
        <v>0</v>
      </c>
      <c r="M164">
        <f t="shared" si="64"/>
        <v>0</v>
      </c>
      <c r="O164" s="2">
        <f t="shared" si="65"/>
        <v>-1</v>
      </c>
      <c r="P164">
        <f t="shared" si="66"/>
        <v>-12.233799883287455</v>
      </c>
      <c r="R164" s="2">
        <f t="shared" si="70"/>
        <v>14</v>
      </c>
      <c r="S164">
        <f t="shared" si="71"/>
        <v>171.27319836602439</v>
      </c>
      <c r="T164">
        <f t="shared" si="72"/>
        <v>593.39997398686285</v>
      </c>
      <c r="V164" s="2">
        <f t="shared" si="67"/>
        <v>11</v>
      </c>
      <c r="W164">
        <f t="shared" si="68"/>
        <v>134.57179871616202</v>
      </c>
      <c r="Y164">
        <f t="shared" si="69"/>
        <v>466.24283670396358</v>
      </c>
    </row>
    <row r="165" spans="1:25" x14ac:dyDescent="0.25">
      <c r="A165" s="1">
        <v>163000</v>
      </c>
      <c r="B165" s="2">
        <v>54</v>
      </c>
      <c r="C165" s="2">
        <f>Table1[[#This Row],[Elev_CEM1]]-B185</f>
        <v>54</v>
      </c>
      <c r="D165">
        <f>Table1[[#This Row],[distance]]/$A$179</f>
        <v>0.92090395480225984</v>
      </c>
      <c r="E165">
        <f t="shared" si="75"/>
        <v>19.67050847457627</v>
      </c>
      <c r="F165" s="8">
        <f t="shared" si="73"/>
        <v>2296.3154888135591</v>
      </c>
      <c r="G165">
        <f t="shared" si="74"/>
        <v>2.2963154888135593</v>
      </c>
      <c r="I165" s="2">
        <f t="shared" ref="I165:I196" si="76">B162-B165</f>
        <v>7</v>
      </c>
      <c r="K165">
        <f t="shared" ref="K165:K179" si="77">(1000*9.81*I165*F165*0.85)/1000000</f>
        <v>134.03478692430303</v>
      </c>
      <c r="L165" s="2">
        <f t="shared" si="63"/>
        <v>1</v>
      </c>
      <c r="M165">
        <f t="shared" si="64"/>
        <v>19.147826703471861</v>
      </c>
      <c r="O165" s="2">
        <f t="shared" si="65"/>
        <v>-5</v>
      </c>
      <c r="P165">
        <f t="shared" si="66"/>
        <v>-95.739133517359321</v>
      </c>
      <c r="R165" s="2">
        <f t="shared" si="70"/>
        <v>0</v>
      </c>
      <c r="S165">
        <f t="shared" si="71"/>
        <v>0</v>
      </c>
      <c r="T165">
        <f t="shared" si="72"/>
        <v>0</v>
      </c>
      <c r="V165" s="2">
        <f t="shared" si="67"/>
        <v>11</v>
      </c>
      <c r="W165">
        <f t="shared" si="68"/>
        <v>210.62609373819049</v>
      </c>
      <c r="Y165">
        <f t="shared" si="69"/>
        <v>729.74358940908439</v>
      </c>
    </row>
    <row r="166" spans="1:25" x14ac:dyDescent="0.25">
      <c r="A166" s="1">
        <v>164000</v>
      </c>
      <c r="B166" s="2">
        <v>56</v>
      </c>
      <c r="C166" s="2">
        <f>Table1[[#This Row],[Elev_CEM1]]-B186</f>
        <v>56</v>
      </c>
      <c r="D166">
        <f>Table1[[#This Row],[distance]]/$A$179</f>
        <v>0.92655367231638419</v>
      </c>
      <c r="E166">
        <f t="shared" si="75"/>
        <v>19.791186440677965</v>
      </c>
      <c r="F166" s="8">
        <f t="shared" si="73"/>
        <v>-330.05761627118636</v>
      </c>
      <c r="G166">
        <f t="shared" si="74"/>
        <v>-0.33005761627118635</v>
      </c>
      <c r="I166" s="2">
        <f t="shared" si="76"/>
        <v>6</v>
      </c>
      <c r="K166">
        <f t="shared" si="77"/>
        <v>-16.513112599663724</v>
      </c>
      <c r="L166" s="2">
        <f t="shared" si="63"/>
        <v>-6</v>
      </c>
      <c r="M166">
        <f t="shared" si="64"/>
        <v>16.513112599663721</v>
      </c>
      <c r="O166" s="2">
        <f t="shared" si="65"/>
        <v>-2</v>
      </c>
      <c r="P166">
        <f t="shared" si="66"/>
        <v>5.5043708665545745</v>
      </c>
      <c r="R166" s="2">
        <f t="shared" si="70"/>
        <v>9</v>
      </c>
      <c r="S166">
        <f t="shared" si="71"/>
        <v>-24.769668899495588</v>
      </c>
      <c r="T166">
        <f t="shared" si="72"/>
        <v>-85.817985655948391</v>
      </c>
      <c r="V166" s="2">
        <f t="shared" si="67"/>
        <v>7</v>
      </c>
      <c r="W166">
        <f t="shared" si="68"/>
        <v>-19.265298032941011</v>
      </c>
      <c r="Y166">
        <f t="shared" si="69"/>
        <v>-66.747322176848741</v>
      </c>
    </row>
    <row r="167" spans="1:25" x14ac:dyDescent="0.25">
      <c r="A167" s="1">
        <v>165000</v>
      </c>
      <c r="B167" s="2">
        <v>52</v>
      </c>
      <c r="C167" s="2">
        <f>Table1[[#This Row],[Elev_CEM1]]-B187</f>
        <v>52</v>
      </c>
      <c r="D167">
        <f>Table1[[#This Row],[distance]]/$A$179</f>
        <v>0.93220338983050843</v>
      </c>
      <c r="E167">
        <f t="shared" si="75"/>
        <v>19.91186440677966</v>
      </c>
      <c r="F167" s="8">
        <f t="shared" si="73"/>
        <v>2158.4560576271188</v>
      </c>
      <c r="G167">
        <f t="shared" si="74"/>
        <v>2.1584560576271188</v>
      </c>
      <c r="I167" s="2">
        <f t="shared" si="76"/>
        <v>2</v>
      </c>
      <c r="K167">
        <f t="shared" si="77"/>
        <v>35.996571673047455</v>
      </c>
      <c r="L167" s="2">
        <f t="shared" si="63"/>
        <v>-1</v>
      </c>
      <c r="M167">
        <f t="shared" si="64"/>
        <v>-17.998285836523728</v>
      </c>
      <c r="O167" s="2">
        <f t="shared" si="65"/>
        <v>3</v>
      </c>
      <c r="P167">
        <f t="shared" si="66"/>
        <v>53.99485750957119</v>
      </c>
      <c r="R167" s="2">
        <f t="shared" si="70"/>
        <v>10</v>
      </c>
      <c r="S167">
        <f t="shared" si="71"/>
        <v>179.98285836523726</v>
      </c>
      <c r="T167">
        <f t="shared" si="72"/>
        <v>623.57581040653577</v>
      </c>
      <c r="V167" s="2">
        <f t="shared" si="67"/>
        <v>2</v>
      </c>
      <c r="W167">
        <f t="shared" si="68"/>
        <v>35.996571673047455</v>
      </c>
      <c r="Y167">
        <f t="shared" si="69"/>
        <v>124.71516208130716</v>
      </c>
    </row>
    <row r="168" spans="1:25" x14ac:dyDescent="0.25">
      <c r="A168" s="1">
        <v>166000</v>
      </c>
      <c r="B168" s="2">
        <v>49</v>
      </c>
      <c r="C168" s="2">
        <f>Table1[[#This Row],[Elev_CEM1]]-B188</f>
        <v>49</v>
      </c>
      <c r="D168">
        <f>Table1[[#This Row],[distance]]/$A$179</f>
        <v>0.93785310734463279</v>
      </c>
      <c r="E168">
        <f t="shared" si="75"/>
        <v>20.032542372881355</v>
      </c>
      <c r="F168" s="8">
        <f t="shared" si="73"/>
        <v>2171.537609491525</v>
      </c>
      <c r="G168">
        <f t="shared" si="74"/>
        <v>2.1715376094915251</v>
      </c>
      <c r="I168" s="2">
        <f t="shared" si="76"/>
        <v>5</v>
      </c>
      <c r="K168">
        <f t="shared" si="77"/>
        <v>90.536831783725404</v>
      </c>
      <c r="L168" s="2">
        <f t="shared" si="63"/>
        <v>6</v>
      </c>
      <c r="M168">
        <f t="shared" si="64"/>
        <v>108.64419814047048</v>
      </c>
      <c r="O168" s="2">
        <f t="shared" si="65"/>
        <v>1</v>
      </c>
      <c r="P168">
        <f t="shared" si="66"/>
        <v>18.107366356745079</v>
      </c>
      <c r="R168" s="2">
        <f t="shared" si="70"/>
        <v>13</v>
      </c>
      <c r="S168">
        <f t="shared" si="71"/>
        <v>235.39576263768603</v>
      </c>
      <c r="T168">
        <f t="shared" si="72"/>
        <v>815.56157506503257</v>
      </c>
      <c r="V168" s="2">
        <f t="shared" si="67"/>
        <v>8</v>
      </c>
      <c r="W168">
        <f t="shared" si="68"/>
        <v>144.85893085396063</v>
      </c>
      <c r="Y168">
        <f t="shared" si="69"/>
        <v>501.8840461938662</v>
      </c>
    </row>
    <row r="169" spans="1:25" x14ac:dyDescent="0.25">
      <c r="A169" s="1">
        <v>167000</v>
      </c>
      <c r="B169" s="2">
        <v>46</v>
      </c>
      <c r="C169" s="2">
        <f>Table1[[#This Row],[Elev_CEM1]]-B189</f>
        <v>46</v>
      </c>
      <c r="D169">
        <f>Table1[[#This Row],[distance]]/$A$179</f>
        <v>0.94350282485875703</v>
      </c>
      <c r="E169">
        <f t="shared" si="75"/>
        <v>20.153220338983051</v>
      </c>
      <c r="F169" s="8">
        <f t="shared" si="73"/>
        <v>2688.7620447457625</v>
      </c>
      <c r="G169">
        <f t="shared" si="74"/>
        <v>2.6887620447457623</v>
      </c>
      <c r="I169" s="2">
        <f t="shared" si="76"/>
        <v>10</v>
      </c>
      <c r="K169">
        <f t="shared" si="77"/>
        <v>224.20242310112542</v>
      </c>
      <c r="L169" s="2">
        <f t="shared" ref="L169:L200" si="78">B162-B169</f>
        <v>15</v>
      </c>
      <c r="M169">
        <f t="shared" ref="M169:M200" si="79">(1000*9.81*F169*L169*0.85)/1000000</f>
        <v>336.30363465168807</v>
      </c>
      <c r="O169" s="2">
        <f t="shared" si="65"/>
        <v>5</v>
      </c>
      <c r="P169">
        <f t="shared" si="66"/>
        <v>112.10121155056271</v>
      </c>
      <c r="R169" s="2">
        <f t="shared" si="70"/>
        <v>19</v>
      </c>
      <c r="S169">
        <f t="shared" si="71"/>
        <v>425.9846038921383</v>
      </c>
      <c r="T169">
        <f t="shared" si="72"/>
        <v>1475.8832980288582</v>
      </c>
      <c r="V169" s="2">
        <f t="shared" si="67"/>
        <v>7</v>
      </c>
      <c r="W169">
        <f t="shared" si="68"/>
        <v>156.94169617078779</v>
      </c>
      <c r="Y169">
        <f t="shared" si="69"/>
        <v>543.74647822115821</v>
      </c>
    </row>
    <row r="170" spans="1:25" x14ac:dyDescent="0.25">
      <c r="A170" s="1">
        <v>168000</v>
      </c>
      <c r="B170" s="2">
        <v>48</v>
      </c>
      <c r="C170" s="2">
        <f>Table1[[#This Row],[Elev_CEM1]]-B190</f>
        <v>48</v>
      </c>
      <c r="D170">
        <f>Table1[[#This Row],[distance]]/$A$179</f>
        <v>0.94915254237288138</v>
      </c>
      <c r="E170">
        <f t="shared" si="75"/>
        <v>20.273898305084746</v>
      </c>
      <c r="F170" s="8">
        <f t="shared" si="73"/>
        <v>2873.9163172881358</v>
      </c>
      <c r="G170">
        <f t="shared" si="74"/>
        <v>2.8739163172881357</v>
      </c>
      <c r="I170" s="2">
        <f t="shared" si="76"/>
        <v>4</v>
      </c>
      <c r="K170">
        <f t="shared" si="77"/>
        <v>95.856604846828475</v>
      </c>
      <c r="L170" s="2">
        <f t="shared" si="78"/>
        <v>14</v>
      </c>
      <c r="M170">
        <f t="shared" si="79"/>
        <v>335.49811696389969</v>
      </c>
      <c r="O170" s="2">
        <f t="shared" si="65"/>
        <v>7</v>
      </c>
      <c r="P170">
        <f t="shared" si="66"/>
        <v>167.74905848194985</v>
      </c>
      <c r="R170" s="2">
        <f t="shared" si="70"/>
        <v>17</v>
      </c>
      <c r="S170">
        <f t="shared" si="71"/>
        <v>407.39057059902109</v>
      </c>
      <c r="T170">
        <f t="shared" si="72"/>
        <v>1411.4616665201925</v>
      </c>
      <c r="V170" s="2">
        <f t="shared" si="67"/>
        <v>1</v>
      </c>
      <c r="W170">
        <f t="shared" si="68"/>
        <v>23.964151211707119</v>
      </c>
      <c r="Y170">
        <f t="shared" si="69"/>
        <v>83.027156854128961</v>
      </c>
    </row>
    <row r="171" spans="1:25" x14ac:dyDescent="0.25">
      <c r="A171" s="1">
        <v>169000</v>
      </c>
      <c r="B171" s="2">
        <v>57</v>
      </c>
      <c r="C171" s="2">
        <f>Table1[[#This Row],[Elev_CEM1]]-B191</f>
        <v>57</v>
      </c>
      <c r="D171">
        <f>Table1[[#This Row],[distance]]/$A$179</f>
        <v>0.95480225988700562</v>
      </c>
      <c r="E171">
        <f t="shared" si="75"/>
        <v>20.394576271186441</v>
      </c>
      <c r="F171" s="8">
        <f t="shared" si="73"/>
        <v>1360.481393898305</v>
      </c>
      <c r="G171">
        <f t="shared" si="74"/>
        <v>1.3604813938983049</v>
      </c>
      <c r="I171" s="2">
        <f t="shared" si="76"/>
        <v>-8</v>
      </c>
      <c r="K171">
        <f t="shared" si="77"/>
        <v>-90.754992824168127</v>
      </c>
      <c r="L171" s="2">
        <f t="shared" si="78"/>
        <v>-3</v>
      </c>
      <c r="M171">
        <f t="shared" si="79"/>
        <v>-34.033122309063046</v>
      </c>
      <c r="O171" s="2">
        <f t="shared" ref="O171:O202" si="80">B162-B171</f>
        <v>4</v>
      </c>
      <c r="P171">
        <f t="shared" ref="P171:P202" si="81">(1000*9.81*F171*O171*0.85)/1000000</f>
        <v>45.377496412084064</v>
      </c>
      <c r="R171" s="2">
        <f t="shared" si="70"/>
        <v>6</v>
      </c>
      <c r="S171">
        <f t="shared" si="71"/>
        <v>68.066244618126092</v>
      </c>
      <c r="T171">
        <f t="shared" si="72"/>
        <v>235.82503375374438</v>
      </c>
      <c r="V171" s="2">
        <f t="shared" si="67"/>
        <v>-3</v>
      </c>
      <c r="W171">
        <f t="shared" si="68"/>
        <v>-34.033122309063046</v>
      </c>
      <c r="Y171">
        <f t="shared" si="69"/>
        <v>-117.91251687687219</v>
      </c>
    </row>
    <row r="172" spans="1:25" x14ac:dyDescent="0.25">
      <c r="A172" s="1">
        <v>170000</v>
      </c>
      <c r="B172" s="2">
        <v>49</v>
      </c>
      <c r="C172" s="2">
        <f>Table1[[#This Row],[Elev_CEM1]]-B192</f>
        <v>49</v>
      </c>
      <c r="D172">
        <f>Table1[[#This Row],[distance]]/$A$179</f>
        <v>0.96045197740112997</v>
      </c>
      <c r="E172">
        <f t="shared" si="75"/>
        <v>20.515254237288136</v>
      </c>
      <c r="F172" s="8">
        <f t="shared" si="73"/>
        <v>2394.9302644067798</v>
      </c>
      <c r="G172">
        <f t="shared" si="74"/>
        <v>2.3949302644067796</v>
      </c>
      <c r="I172" s="2">
        <f t="shared" si="76"/>
        <v>-3</v>
      </c>
      <c r="K172">
        <f t="shared" si="77"/>
        <v>-59.910378029267797</v>
      </c>
      <c r="L172" s="2">
        <f t="shared" si="78"/>
        <v>5</v>
      </c>
      <c r="M172">
        <f t="shared" si="79"/>
        <v>99.850630048779649</v>
      </c>
      <c r="O172" s="2">
        <f t="shared" si="80"/>
        <v>13</v>
      </c>
      <c r="P172">
        <f t="shared" si="81"/>
        <v>259.61163812682713</v>
      </c>
      <c r="R172" s="2">
        <f t="shared" si="70"/>
        <v>5</v>
      </c>
      <c r="S172">
        <f t="shared" si="71"/>
        <v>99.850630048779649</v>
      </c>
      <c r="T172">
        <f t="shared" si="72"/>
        <v>345.94648689220389</v>
      </c>
      <c r="V172" s="2">
        <f t="shared" si="67"/>
        <v>6</v>
      </c>
      <c r="W172">
        <f t="shared" si="68"/>
        <v>119.82075605853559</v>
      </c>
      <c r="Y172">
        <f t="shared" si="69"/>
        <v>415.13578427064476</v>
      </c>
    </row>
    <row r="173" spans="1:25" x14ac:dyDescent="0.25">
      <c r="A173" s="1">
        <v>171000</v>
      </c>
      <c r="B173" s="2">
        <v>52</v>
      </c>
      <c r="C173" s="2">
        <f>Table1[[#This Row],[Elev_CEM1]]-B193</f>
        <v>52</v>
      </c>
      <c r="D173">
        <f>Table1[[#This Row],[distance]]/$A$179</f>
        <v>0.96610169491525422</v>
      </c>
      <c r="E173">
        <f t="shared" si="75"/>
        <v>20.635932203389828</v>
      </c>
      <c r="F173" s="8">
        <f t="shared" si="73"/>
        <v>344.14544135593223</v>
      </c>
      <c r="G173">
        <f t="shared" si="74"/>
        <v>0.34414544135593222</v>
      </c>
      <c r="I173" s="2">
        <f t="shared" si="76"/>
        <v>-4</v>
      </c>
      <c r="K173">
        <f t="shared" si="77"/>
        <v>-11.478627050985763</v>
      </c>
      <c r="L173" s="2">
        <f t="shared" si="78"/>
        <v>4</v>
      </c>
      <c r="M173">
        <f t="shared" si="79"/>
        <v>11.478627050985763</v>
      </c>
      <c r="O173" s="2">
        <f t="shared" si="80"/>
        <v>2</v>
      </c>
      <c r="P173">
        <f t="shared" si="81"/>
        <v>5.7393135254928813</v>
      </c>
      <c r="R173" s="2">
        <f t="shared" si="70"/>
        <v>5</v>
      </c>
      <c r="S173">
        <f t="shared" si="71"/>
        <v>14.348283813732206</v>
      </c>
      <c r="T173">
        <f t="shared" si="72"/>
        <v>49.711638032409148</v>
      </c>
      <c r="V173" s="2">
        <f t="shared" si="67"/>
        <v>-2</v>
      </c>
      <c r="W173">
        <f t="shared" si="68"/>
        <v>-5.7393135254928813</v>
      </c>
      <c r="Y173">
        <f t="shared" si="69"/>
        <v>-19.884655212963658</v>
      </c>
    </row>
    <row r="174" spans="1:25" x14ac:dyDescent="0.25">
      <c r="A174" s="1">
        <v>172000</v>
      </c>
      <c r="B174" s="2">
        <v>52</v>
      </c>
      <c r="C174" s="2">
        <f>Table1[[#This Row],[Elev_CEM1]]-B194</f>
        <v>52</v>
      </c>
      <c r="D174">
        <f>Table1[[#This Row],[distance]]/$A$179</f>
        <v>0.97175141242937857</v>
      </c>
      <c r="E174">
        <f t="shared" si="75"/>
        <v>20.756610169491527</v>
      </c>
      <c r="F174" s="8">
        <f t="shared" si="73"/>
        <v>865.39496949152544</v>
      </c>
      <c r="G174">
        <f t="shared" si="74"/>
        <v>0.86539496949152539</v>
      </c>
      <c r="I174" s="2">
        <f t="shared" si="76"/>
        <v>5</v>
      </c>
      <c r="K174">
        <f t="shared" si="77"/>
        <v>36.080479765525425</v>
      </c>
      <c r="L174" s="2">
        <f t="shared" si="78"/>
        <v>0</v>
      </c>
      <c r="M174">
        <f t="shared" si="79"/>
        <v>0</v>
      </c>
      <c r="O174" s="2">
        <f t="shared" si="80"/>
        <v>2</v>
      </c>
      <c r="P174">
        <f t="shared" si="81"/>
        <v>14.43219190621017</v>
      </c>
      <c r="R174" s="2">
        <f t="shared" si="70"/>
        <v>1</v>
      </c>
      <c r="S174">
        <f t="shared" si="71"/>
        <v>7.2160959531050848</v>
      </c>
      <c r="T174">
        <f t="shared" si="72"/>
        <v>25.001174682965999</v>
      </c>
      <c r="V174" s="2">
        <f t="shared" si="67"/>
        <v>-1</v>
      </c>
      <c r="W174">
        <f t="shared" si="68"/>
        <v>-7.2160959531050848</v>
      </c>
      <c r="Y174">
        <f t="shared" si="69"/>
        <v>-25.001174682965999</v>
      </c>
    </row>
    <row r="175" spans="1:25" x14ac:dyDescent="0.25">
      <c r="A175" s="1">
        <v>173000</v>
      </c>
      <c r="B175" s="2">
        <v>54</v>
      </c>
      <c r="C175" s="2">
        <f>Table1[[#This Row],[Elev_CEM1]]-B195</f>
        <v>54</v>
      </c>
      <c r="D175">
        <f>Table1[[#This Row],[distance]]/$A$179</f>
        <v>0.97740112994350281</v>
      </c>
      <c r="E175">
        <f t="shared" si="75"/>
        <v>20.877288135593218</v>
      </c>
      <c r="F175" s="8">
        <f t="shared" si="73"/>
        <v>-174.08526711864405</v>
      </c>
      <c r="G175">
        <f t="shared" si="74"/>
        <v>-0.17408526711864405</v>
      </c>
      <c r="I175" s="2">
        <f t="shared" si="76"/>
        <v>-5</v>
      </c>
      <c r="K175">
        <f t="shared" si="77"/>
        <v>7.2580499993440677</v>
      </c>
      <c r="L175" s="2">
        <f t="shared" si="78"/>
        <v>-5</v>
      </c>
      <c r="M175">
        <f t="shared" si="79"/>
        <v>7.2580499993440677</v>
      </c>
      <c r="O175" s="2">
        <f t="shared" si="80"/>
        <v>2</v>
      </c>
      <c r="P175">
        <f t="shared" si="81"/>
        <v>-2.9032199997376269</v>
      </c>
      <c r="R175" s="2">
        <f t="shared" si="70"/>
        <v>-5</v>
      </c>
      <c r="S175">
        <f t="shared" si="71"/>
        <v>7.2580499993440677</v>
      </c>
      <c r="T175">
        <f t="shared" si="72"/>
        <v>25.146530349727431</v>
      </c>
      <c r="V175" s="2">
        <f t="shared" si="67"/>
        <v>1</v>
      </c>
      <c r="W175">
        <f t="shared" si="68"/>
        <v>-1.4516099998688134</v>
      </c>
      <c r="Y175">
        <f t="shared" si="69"/>
        <v>-5.0293060699454859</v>
      </c>
    </row>
    <row r="176" spans="1:25" x14ac:dyDescent="0.25">
      <c r="A176" s="1">
        <v>174000</v>
      </c>
      <c r="B176" s="2">
        <v>52</v>
      </c>
      <c r="C176" s="2">
        <f>Table1[[#This Row],[Elev_CEM1]]-B196</f>
        <v>52</v>
      </c>
      <c r="D176">
        <f>Table1[[#This Row],[distance]]/$A$179</f>
        <v>0.98305084745762716</v>
      </c>
      <c r="E176">
        <f t="shared" si="75"/>
        <v>20.997966101694917</v>
      </c>
      <c r="F176" s="8">
        <f t="shared" si="73"/>
        <v>-525.27462101694914</v>
      </c>
      <c r="G176">
        <f t="shared" si="74"/>
        <v>-0.52527462101694911</v>
      </c>
      <c r="I176" s="2">
        <f t="shared" si="76"/>
        <v>0</v>
      </c>
      <c r="K176">
        <f t="shared" si="77"/>
        <v>0</v>
      </c>
      <c r="L176" s="2">
        <f t="shared" si="78"/>
        <v>-6</v>
      </c>
      <c r="M176">
        <f t="shared" si="79"/>
        <v>26.28001456409898</v>
      </c>
      <c r="O176" s="2">
        <f t="shared" si="80"/>
        <v>0</v>
      </c>
      <c r="P176">
        <f t="shared" si="81"/>
        <v>0</v>
      </c>
      <c r="R176" s="2">
        <f t="shared" si="70"/>
        <v>2</v>
      </c>
      <c r="S176">
        <f t="shared" si="71"/>
        <v>-8.7600048546996607</v>
      </c>
      <c r="T176">
        <f t="shared" si="72"/>
        <v>-30.350263219786637</v>
      </c>
      <c r="V176" s="2">
        <f t="shared" ref="V176:V207" si="82">B162-B176</f>
        <v>9</v>
      </c>
      <c r="W176">
        <f t="shared" ref="W176:W207" si="83">(1000*9.81*F176*V176*0.85)/1000000</f>
        <v>-39.420021846148479</v>
      </c>
      <c r="Y176">
        <f t="shared" si="69"/>
        <v>-136.57618448903989</v>
      </c>
    </row>
    <row r="177" spans="1:25" x14ac:dyDescent="0.25">
      <c r="A177" s="1">
        <v>175000</v>
      </c>
      <c r="B177" s="2">
        <v>49</v>
      </c>
      <c r="C177" s="2">
        <f>Table1[[#This Row],[Elev_CEM1]]-B197</f>
        <v>49</v>
      </c>
      <c r="D177">
        <f>Table1[[#This Row],[distance]]/$A$179</f>
        <v>0.98870056497175141</v>
      </c>
      <c r="E177">
        <f t="shared" si="75"/>
        <v>21.118644067796609</v>
      </c>
      <c r="F177" s="8">
        <f t="shared" si="73"/>
        <v>880.48906779661024</v>
      </c>
      <c r="G177">
        <f t="shared" si="74"/>
        <v>0.88048906779661029</v>
      </c>
      <c r="I177" s="2">
        <f t="shared" si="76"/>
        <v>3</v>
      </c>
      <c r="K177">
        <f t="shared" si="77"/>
        <v>22.025874275466101</v>
      </c>
      <c r="L177" s="2">
        <f t="shared" si="78"/>
        <v>-1</v>
      </c>
      <c r="M177">
        <f t="shared" si="79"/>
        <v>-7.3419580918220335</v>
      </c>
      <c r="O177" s="2">
        <f t="shared" si="80"/>
        <v>0</v>
      </c>
      <c r="P177">
        <f t="shared" si="81"/>
        <v>0</v>
      </c>
      <c r="R177" s="2">
        <f t="shared" si="70"/>
        <v>6</v>
      </c>
      <c r="S177">
        <f t="shared" si="71"/>
        <v>44.051748550932196</v>
      </c>
      <c r="T177">
        <f t="shared" si="72"/>
        <v>152.62345009950172</v>
      </c>
      <c r="V177" s="2">
        <f t="shared" si="82"/>
        <v>13</v>
      </c>
      <c r="W177">
        <f t="shared" si="83"/>
        <v>95.445455193686442</v>
      </c>
      <c r="Y177">
        <f t="shared" si="69"/>
        <v>330.68414188225381</v>
      </c>
    </row>
    <row r="178" spans="1:25" x14ac:dyDescent="0.25">
      <c r="A178" s="1">
        <v>176000</v>
      </c>
      <c r="B178" s="2">
        <v>53</v>
      </c>
      <c r="C178" s="2">
        <f>Table1[[#This Row],[Elev_CEM1]]-B198</f>
        <v>53</v>
      </c>
      <c r="D178">
        <f>Table1[[#This Row],[distance]]/$A$179</f>
        <v>0.99435028248587576</v>
      </c>
      <c r="E178">
        <f t="shared" si="75"/>
        <v>21.239322033898304</v>
      </c>
      <c r="F178" s="8">
        <f t="shared" si="73"/>
        <v>354.20817355932201</v>
      </c>
      <c r="G178">
        <f t="shared" si="74"/>
        <v>0.35420817355932199</v>
      </c>
      <c r="I178" s="2">
        <f t="shared" si="76"/>
        <v>1</v>
      </c>
      <c r="K178">
        <f t="shared" si="77"/>
        <v>2.9535648552244069</v>
      </c>
      <c r="L178" s="2">
        <f t="shared" si="78"/>
        <v>4</v>
      </c>
      <c r="M178">
        <f t="shared" si="79"/>
        <v>11.814259420897628</v>
      </c>
      <c r="O178" s="2">
        <f t="shared" si="80"/>
        <v>-7</v>
      </c>
      <c r="P178">
        <f t="shared" si="81"/>
        <v>-20.674953986570845</v>
      </c>
      <c r="R178" s="2">
        <f t="shared" si="70"/>
        <v>-3</v>
      </c>
      <c r="S178">
        <f t="shared" si="71"/>
        <v>-8.860694565673219</v>
      </c>
      <c r="T178">
        <f t="shared" si="72"/>
        <v>-30.699116820014062</v>
      </c>
      <c r="V178" s="2">
        <f t="shared" si="82"/>
        <v>1</v>
      </c>
      <c r="W178">
        <f t="shared" si="83"/>
        <v>2.9535648552244069</v>
      </c>
      <c r="Y178">
        <f t="shared" si="69"/>
        <v>10.23303894000469</v>
      </c>
    </row>
    <row r="179" spans="1:25" x14ac:dyDescent="0.25">
      <c r="A179" s="1">
        <v>177000</v>
      </c>
      <c r="B179" s="2">
        <v>54</v>
      </c>
      <c r="C179" s="2">
        <f>Table1[[#This Row],[Elev_CEM1]]-B199</f>
        <v>54</v>
      </c>
      <c r="D179">
        <f>Table1[[#This Row],[distance]]/$A$179</f>
        <v>1</v>
      </c>
      <c r="E179">
        <f t="shared" si="75"/>
        <v>21.36</v>
      </c>
      <c r="F179" s="8">
        <f t="shared" si="73"/>
        <v>-712.44144000000006</v>
      </c>
      <c r="G179">
        <f t="shared" si="74"/>
        <v>-0.71244144000000009</v>
      </c>
      <c r="I179" s="2">
        <f t="shared" si="76"/>
        <v>-2</v>
      </c>
      <c r="K179">
        <f t="shared" si="77"/>
        <v>11.881385894880001</v>
      </c>
      <c r="L179" s="2">
        <f t="shared" si="78"/>
        <v>-5</v>
      </c>
      <c r="M179">
        <f t="shared" si="79"/>
        <v>29.703464737200004</v>
      </c>
      <c r="O179" s="2">
        <f t="shared" si="80"/>
        <v>-6</v>
      </c>
      <c r="P179">
        <f t="shared" si="81"/>
        <v>35.644157684640007</v>
      </c>
      <c r="R179" s="2">
        <f t="shared" si="70"/>
        <v>-3</v>
      </c>
      <c r="S179">
        <f t="shared" si="71"/>
        <v>17.822078842320003</v>
      </c>
      <c r="T179">
        <f t="shared" si="72"/>
        <v>61.747087240255581</v>
      </c>
      <c r="V179" s="2">
        <f t="shared" si="82"/>
        <v>0</v>
      </c>
      <c r="W179">
        <f t="shared" si="83"/>
        <v>0</v>
      </c>
      <c r="Y179">
        <f t="shared" si="69"/>
        <v>0</v>
      </c>
    </row>
  </sheetData>
  <pageMargins left="0.7" right="0.7" top="0.75" bottom="0.75" header="0.3" footer="0.3"/>
  <pageSetup paperSize="9" orientation="portrait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28F49-6721-49D8-BC4C-A142649B019A}">
  <dimension ref="A1:G179"/>
  <sheetViews>
    <sheetView workbookViewId="0">
      <selection activeCell="C25" sqref="C25"/>
    </sheetView>
  </sheetViews>
  <sheetFormatPr baseColWidth="10" defaultRowHeight="15" x14ac:dyDescent="0.25"/>
  <cols>
    <col min="1" max="1" width="22.42578125" customWidth="1"/>
  </cols>
  <sheetData>
    <row r="1" spans="1:7" x14ac:dyDescent="0.25">
      <c r="A1" s="1" t="s">
        <v>0</v>
      </c>
      <c r="B1" s="2" t="s">
        <v>1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</row>
    <row r="2" spans="1:7" x14ac:dyDescent="0.25">
      <c r="A2" s="1">
        <v>0</v>
      </c>
      <c r="B2" s="2">
        <v>1606</v>
      </c>
      <c r="C2" s="2">
        <f>Table14[[#This Row],[Elev_CEM1]]-B12</f>
        <v>699</v>
      </c>
      <c r="D2" s="8">
        <f>Table14[[#This Row],[distance]]/$A$179</f>
        <v>0</v>
      </c>
      <c r="E2" s="8">
        <f t="shared" ref="E2:E65" si="0">21.36*D2</f>
        <v>0</v>
      </c>
      <c r="F2" s="8"/>
      <c r="G2" s="8"/>
    </row>
    <row r="3" spans="1:7" x14ac:dyDescent="0.25">
      <c r="A3" s="1">
        <v>1000</v>
      </c>
      <c r="B3" s="2">
        <v>1500</v>
      </c>
      <c r="C3" s="2">
        <f>Table14[[#This Row],[Elev_CEM1]]-B13</f>
        <v>631</v>
      </c>
      <c r="D3" s="8">
        <f>Table14[[#This Row],[distance]]/$A$179</f>
        <v>5.6497175141242938E-3</v>
      </c>
      <c r="E3" s="8">
        <f t="shared" si="0"/>
        <v>0.12067796610169491</v>
      </c>
      <c r="F3" s="8"/>
      <c r="G3" s="8"/>
    </row>
    <row r="4" spans="1:7" x14ac:dyDescent="0.25">
      <c r="A4" s="1">
        <v>2000</v>
      </c>
      <c r="B4" s="2">
        <v>1440</v>
      </c>
      <c r="C4" s="2">
        <f>Table14[[#This Row],[Elev_CEM1]]-B14</f>
        <v>597</v>
      </c>
      <c r="D4" s="8">
        <f>Table14[[#This Row],[distance]]/$A$179</f>
        <v>1.1299435028248588E-2</v>
      </c>
      <c r="E4" s="8">
        <f t="shared" si="0"/>
        <v>0.24135593220338983</v>
      </c>
      <c r="F4" s="8"/>
      <c r="G4" s="8"/>
    </row>
    <row r="5" spans="1:7" x14ac:dyDescent="0.25">
      <c r="A5" s="1">
        <v>3000</v>
      </c>
      <c r="B5" s="2">
        <v>1336</v>
      </c>
      <c r="C5" s="2">
        <f>Table14[[#This Row],[Elev_CEM1]]-B15</f>
        <v>501</v>
      </c>
      <c r="D5" s="8">
        <f>Table14[[#This Row],[distance]]/$A$179</f>
        <v>1.6949152542372881E-2</v>
      </c>
      <c r="E5" s="8">
        <f t="shared" si="0"/>
        <v>0.36203389830508476</v>
      </c>
      <c r="F5" s="8"/>
      <c r="G5" s="8"/>
    </row>
    <row r="6" spans="1:7" x14ac:dyDescent="0.25">
      <c r="A6" s="1">
        <v>4000</v>
      </c>
      <c r="B6" s="2">
        <v>1257</v>
      </c>
      <c r="C6" s="2">
        <f>Table14[[#This Row],[Elev_CEM1]]-B16</f>
        <v>446</v>
      </c>
      <c r="D6" s="8">
        <f>Table14[[#This Row],[distance]]/$A$179</f>
        <v>2.2598870056497175E-2</v>
      </c>
      <c r="E6" s="8">
        <f t="shared" si="0"/>
        <v>0.48271186440677966</v>
      </c>
      <c r="F6" s="8"/>
      <c r="G6" s="8"/>
    </row>
    <row r="7" spans="1:7" x14ac:dyDescent="0.25">
      <c r="A7" s="1">
        <v>5000</v>
      </c>
      <c r="B7" s="2">
        <v>1199</v>
      </c>
      <c r="C7" s="2">
        <f>Table14[[#This Row],[Elev_CEM1]]-B17</f>
        <v>432</v>
      </c>
      <c r="D7" s="8">
        <f>Table14[[#This Row],[distance]]/$A$179</f>
        <v>2.8248587570621469E-2</v>
      </c>
      <c r="E7" s="8">
        <f t="shared" si="0"/>
        <v>0.60338983050847461</v>
      </c>
      <c r="F7" s="8"/>
      <c r="G7" s="8"/>
    </row>
    <row r="8" spans="1:7" x14ac:dyDescent="0.25">
      <c r="A8" s="1">
        <v>6000</v>
      </c>
      <c r="B8" s="2">
        <v>1133</v>
      </c>
      <c r="C8" s="2">
        <f>Table14[[#This Row],[Elev_CEM1]]-B18</f>
        <v>386</v>
      </c>
      <c r="D8" s="8">
        <f>Table14[[#This Row],[distance]]/$A$179</f>
        <v>3.3898305084745763E-2</v>
      </c>
      <c r="E8" s="8">
        <f t="shared" si="0"/>
        <v>0.72406779661016951</v>
      </c>
      <c r="F8" s="8"/>
      <c r="G8" s="8"/>
    </row>
    <row r="9" spans="1:7" x14ac:dyDescent="0.25">
      <c r="A9" s="1">
        <v>7000</v>
      </c>
      <c r="B9" s="2">
        <v>1056</v>
      </c>
      <c r="C9" s="2">
        <f>Table14[[#This Row],[Elev_CEM1]]-B19</f>
        <v>325</v>
      </c>
      <c r="D9" s="8">
        <f>Table14[[#This Row],[distance]]/$A$179</f>
        <v>3.954802259887006E-2</v>
      </c>
      <c r="E9" s="8">
        <f t="shared" si="0"/>
        <v>0.84474576271186441</v>
      </c>
      <c r="F9" s="8"/>
      <c r="G9" s="8"/>
    </row>
    <row r="10" spans="1:7" x14ac:dyDescent="0.25">
      <c r="A10" s="1">
        <v>8000</v>
      </c>
      <c r="B10" s="2">
        <v>997</v>
      </c>
      <c r="C10" s="2">
        <f>Table14[[#This Row],[Elev_CEM1]]-B20</f>
        <v>285</v>
      </c>
      <c r="D10" s="8">
        <f>Table14[[#This Row],[distance]]/$A$179</f>
        <v>4.519774011299435E-2</v>
      </c>
      <c r="E10" s="8">
        <f t="shared" si="0"/>
        <v>0.96542372881355931</v>
      </c>
      <c r="F10" s="8"/>
      <c r="G10" s="8"/>
    </row>
    <row r="11" spans="1:7" x14ac:dyDescent="0.25">
      <c r="A11" s="1">
        <v>9000</v>
      </c>
      <c r="B11" s="2">
        <v>956</v>
      </c>
      <c r="C11" s="2">
        <f>Table14[[#This Row],[Elev_CEM1]]-B21</f>
        <v>262</v>
      </c>
      <c r="D11" s="8">
        <f>Table14[[#This Row],[distance]]/$A$179</f>
        <v>5.0847457627118647E-2</v>
      </c>
      <c r="E11" s="8">
        <f t="shared" si="0"/>
        <v>1.0861016949152542</v>
      </c>
      <c r="F11" s="8"/>
      <c r="G11" s="8"/>
    </row>
    <row r="12" spans="1:7" x14ac:dyDescent="0.25">
      <c r="A12" s="1">
        <v>10000</v>
      </c>
      <c r="B12" s="2">
        <v>907</v>
      </c>
      <c r="C12" s="2">
        <f>Table14[[#This Row],[Elev_CEM1]]-B22</f>
        <v>251</v>
      </c>
      <c r="D12" s="8">
        <f>Table14[[#This Row],[distance]]/$A$179</f>
        <v>5.6497175141242938E-2</v>
      </c>
      <c r="E12" s="8">
        <f t="shared" si="0"/>
        <v>1.2067796610169492</v>
      </c>
      <c r="F12" s="8">
        <f>(1000*E12*C2*0.85*9.81)/1000</f>
        <v>7033.8498101694913</v>
      </c>
      <c r="G12" s="8">
        <f>F12/1000</f>
        <v>7.0338498101694915</v>
      </c>
    </row>
    <row r="13" spans="1:7" x14ac:dyDescent="0.25">
      <c r="A13" s="1">
        <v>11000</v>
      </c>
      <c r="B13" s="2">
        <v>869</v>
      </c>
      <c r="C13" s="2">
        <f>Table14[[#This Row],[Elev_CEM1]]-B23</f>
        <v>240</v>
      </c>
      <c r="D13" s="8">
        <f>Table14[[#This Row],[distance]]/$A$179</f>
        <v>6.2146892655367235E-2</v>
      </c>
      <c r="E13" s="8">
        <f t="shared" si="0"/>
        <v>1.327457627118644</v>
      </c>
      <c r="F13" s="8">
        <f t="shared" ref="F13:F76" si="1">(1000*E13*C3*0.85*9.81)/1000</f>
        <v>6984.5424223728824</v>
      </c>
      <c r="G13" s="8">
        <f t="shared" ref="G13:G76" si="2">F13/1000</f>
        <v>6.9845424223728827</v>
      </c>
    </row>
    <row r="14" spans="1:7" x14ac:dyDescent="0.25">
      <c r="A14" s="1">
        <v>12000</v>
      </c>
      <c r="B14" s="2">
        <v>843</v>
      </c>
      <c r="C14" s="2">
        <f>Table14[[#This Row],[Elev_CEM1]]-B24</f>
        <v>236</v>
      </c>
      <c r="D14" s="8">
        <f>Table14[[#This Row],[distance]]/$A$179</f>
        <v>6.7796610169491525E-2</v>
      </c>
      <c r="E14" s="8">
        <f t="shared" si="0"/>
        <v>1.448135593220339</v>
      </c>
      <c r="F14" s="8">
        <f t="shared" si="1"/>
        <v>7208.9413505084749</v>
      </c>
      <c r="G14" s="8">
        <f t="shared" si="2"/>
        <v>7.208941350508475</v>
      </c>
    </row>
    <row r="15" spans="1:7" x14ac:dyDescent="0.25">
      <c r="A15" s="1">
        <v>13000</v>
      </c>
      <c r="B15" s="2">
        <v>835</v>
      </c>
      <c r="C15" s="2">
        <f>Table14[[#This Row],[Elev_CEM1]]-B25</f>
        <v>247</v>
      </c>
      <c r="D15" s="8">
        <f>Table14[[#This Row],[distance]]/$A$179</f>
        <v>7.3446327683615822E-2</v>
      </c>
      <c r="E15" s="8">
        <f t="shared" si="0"/>
        <v>1.568813559322034</v>
      </c>
      <c r="F15" s="8">
        <f t="shared" si="1"/>
        <v>6553.8574840677966</v>
      </c>
      <c r="G15" s="8">
        <f t="shared" si="2"/>
        <v>6.5538574840677963</v>
      </c>
    </row>
    <row r="16" spans="1:7" x14ac:dyDescent="0.25">
      <c r="A16" s="1">
        <v>14000</v>
      </c>
      <c r="B16" s="2">
        <v>811</v>
      </c>
      <c r="C16" s="2">
        <f>Table14[[#This Row],[Elev_CEM1]]-B26</f>
        <v>226</v>
      </c>
      <c r="D16" s="8">
        <f>Table14[[#This Row],[distance]]/$A$179</f>
        <v>7.909604519774012E-2</v>
      </c>
      <c r="E16" s="8">
        <f t="shared" si="0"/>
        <v>1.6894915254237288</v>
      </c>
      <c r="F16" s="8">
        <f t="shared" si="1"/>
        <v>6283.1699877966103</v>
      </c>
      <c r="G16" s="8">
        <f t="shared" si="2"/>
        <v>6.2831699877966098</v>
      </c>
    </row>
    <row r="17" spans="1:7" x14ac:dyDescent="0.25">
      <c r="A17" s="1">
        <v>15000</v>
      </c>
      <c r="B17" s="2">
        <v>767</v>
      </c>
      <c r="C17" s="2">
        <f>Table14[[#This Row],[Elev_CEM1]]-B27</f>
        <v>187</v>
      </c>
      <c r="D17" s="8">
        <f>Table14[[#This Row],[distance]]/$A$179</f>
        <v>8.4745762711864403E-2</v>
      </c>
      <c r="E17" s="8">
        <f t="shared" si="0"/>
        <v>1.8101694915254236</v>
      </c>
      <c r="F17" s="8">
        <f t="shared" si="1"/>
        <v>6520.6504677966104</v>
      </c>
      <c r="G17" s="8">
        <f t="shared" si="2"/>
        <v>6.5206504677966102</v>
      </c>
    </row>
    <row r="18" spans="1:7" x14ac:dyDescent="0.25">
      <c r="A18" s="1">
        <v>16000</v>
      </c>
      <c r="B18" s="2">
        <v>747</v>
      </c>
      <c r="C18" s="2">
        <f>Table14[[#This Row],[Elev_CEM1]]-B28</f>
        <v>188</v>
      </c>
      <c r="D18" s="8">
        <f>Table14[[#This Row],[distance]]/$A$179</f>
        <v>9.03954802259887E-2</v>
      </c>
      <c r="E18" s="8">
        <f t="shared" si="0"/>
        <v>1.9308474576271186</v>
      </c>
      <c r="F18" s="8">
        <f t="shared" si="1"/>
        <v>6214.7434088135597</v>
      </c>
      <c r="G18" s="8">
        <f t="shared" si="2"/>
        <v>6.2147434088135594</v>
      </c>
    </row>
    <row r="19" spans="1:7" x14ac:dyDescent="0.25">
      <c r="A19" s="1">
        <v>17000</v>
      </c>
      <c r="B19" s="2">
        <v>731</v>
      </c>
      <c r="C19" s="2">
        <f>Table14[[#This Row],[Elev_CEM1]]-B29</f>
        <v>183</v>
      </c>
      <c r="D19" s="8">
        <f>Table14[[#This Row],[distance]]/$A$179</f>
        <v>9.6045197740112997E-2</v>
      </c>
      <c r="E19" s="8">
        <f t="shared" si="0"/>
        <v>2.0515254237288136</v>
      </c>
      <c r="F19" s="8">
        <f t="shared" si="1"/>
        <v>5559.6595423728822</v>
      </c>
      <c r="G19" s="8">
        <f t="shared" si="2"/>
        <v>5.5596595423728825</v>
      </c>
    </row>
    <row r="20" spans="1:7" x14ac:dyDescent="0.25">
      <c r="A20" s="1">
        <v>18000</v>
      </c>
      <c r="B20" s="2">
        <v>712</v>
      </c>
      <c r="C20" s="2">
        <f>Table14[[#This Row],[Elev_CEM1]]-B30</f>
        <v>183</v>
      </c>
      <c r="D20" s="8">
        <f>Table14[[#This Row],[distance]]/$A$179</f>
        <v>0.10169491525423729</v>
      </c>
      <c r="E20" s="8">
        <f t="shared" si="0"/>
        <v>2.1722033898305084</v>
      </c>
      <c r="F20" s="8">
        <f t="shared" si="1"/>
        <v>5162.1816203389835</v>
      </c>
      <c r="G20" s="8">
        <f t="shared" si="2"/>
        <v>5.1621816203389832</v>
      </c>
    </row>
    <row r="21" spans="1:7" x14ac:dyDescent="0.25">
      <c r="A21" s="1">
        <v>19000</v>
      </c>
      <c r="B21" s="2">
        <v>694</v>
      </c>
      <c r="C21" s="2">
        <f>Table14[[#This Row],[Elev_CEM1]]-B31</f>
        <v>183</v>
      </c>
      <c r="D21" s="8">
        <f>Table14[[#This Row],[distance]]/$A$179</f>
        <v>0.10734463276836158</v>
      </c>
      <c r="E21" s="8">
        <f t="shared" si="0"/>
        <v>2.2928813559322032</v>
      </c>
      <c r="F21" s="8">
        <f t="shared" si="1"/>
        <v>5009.2280908474568</v>
      </c>
      <c r="G21" s="8">
        <f t="shared" si="2"/>
        <v>5.0092280908474569</v>
      </c>
    </row>
    <row r="22" spans="1:7" x14ac:dyDescent="0.25">
      <c r="A22" s="1">
        <v>20000</v>
      </c>
      <c r="B22" s="2">
        <v>656</v>
      </c>
      <c r="C22" s="2">
        <f>Table14[[#This Row],[Elev_CEM1]]-B32</f>
        <v>170</v>
      </c>
      <c r="D22" s="8">
        <f>Table14[[#This Row],[distance]]/$A$179</f>
        <v>0.11299435028248588</v>
      </c>
      <c r="E22" s="8">
        <f t="shared" si="0"/>
        <v>2.4135593220338984</v>
      </c>
      <c r="F22" s="8">
        <f t="shared" si="1"/>
        <v>5051.4915661016958</v>
      </c>
      <c r="G22" s="8">
        <f t="shared" si="2"/>
        <v>5.0514915661016957</v>
      </c>
    </row>
    <row r="23" spans="1:7" x14ac:dyDescent="0.25">
      <c r="A23" s="1">
        <v>21000</v>
      </c>
      <c r="B23" s="2">
        <v>629</v>
      </c>
      <c r="C23" s="2">
        <f>Table14[[#This Row],[Elev_CEM1]]-B33</f>
        <v>156</v>
      </c>
      <c r="D23" s="8">
        <f>Table14[[#This Row],[distance]]/$A$179</f>
        <v>0.11864406779661017</v>
      </c>
      <c r="E23" s="8">
        <f t="shared" si="0"/>
        <v>2.5342372881355932</v>
      </c>
      <c r="F23" s="8">
        <f t="shared" si="1"/>
        <v>5071.6170305084743</v>
      </c>
      <c r="G23" s="8">
        <f t="shared" si="2"/>
        <v>5.0716170305084747</v>
      </c>
    </row>
    <row r="24" spans="1:7" x14ac:dyDescent="0.25">
      <c r="A24" s="1">
        <v>22000</v>
      </c>
      <c r="B24" s="2">
        <v>607</v>
      </c>
      <c r="C24" s="2">
        <f>Table14[[#This Row],[Elev_CEM1]]-B34</f>
        <v>145</v>
      </c>
      <c r="D24" s="8">
        <f>Table14[[#This Row],[distance]]/$A$179</f>
        <v>0.12429378531073447</v>
      </c>
      <c r="E24" s="8">
        <f t="shared" si="0"/>
        <v>2.654915254237288</v>
      </c>
      <c r="F24" s="8">
        <f t="shared" si="1"/>
        <v>5224.5705600000001</v>
      </c>
      <c r="G24" s="8">
        <f t="shared" si="2"/>
        <v>5.2245705600000001</v>
      </c>
    </row>
    <row r="25" spans="1:7" x14ac:dyDescent="0.25">
      <c r="A25" s="1">
        <v>23000</v>
      </c>
      <c r="B25" s="2">
        <v>588</v>
      </c>
      <c r="C25" s="2">
        <f>Table14[[#This Row],[Elev_CEM1]]-B35</f>
        <v>137</v>
      </c>
      <c r="D25" s="8">
        <f>Table14[[#This Row],[distance]]/$A$179</f>
        <v>0.12994350282485875</v>
      </c>
      <c r="E25" s="8">
        <f t="shared" si="0"/>
        <v>2.7755932203389828</v>
      </c>
      <c r="F25" s="8">
        <f t="shared" si="1"/>
        <v>5716.6381647457629</v>
      </c>
      <c r="G25" s="8">
        <f t="shared" si="2"/>
        <v>5.7166381647457625</v>
      </c>
    </row>
    <row r="26" spans="1:7" x14ac:dyDescent="0.25">
      <c r="A26" s="1">
        <v>24000</v>
      </c>
      <c r="B26" s="2">
        <v>585</v>
      </c>
      <c r="C26" s="2">
        <f>Table14[[#This Row],[Elev_CEM1]]-B36</f>
        <v>138</v>
      </c>
      <c r="D26" s="8">
        <f>Table14[[#This Row],[distance]]/$A$179</f>
        <v>0.13559322033898305</v>
      </c>
      <c r="E26" s="8">
        <f t="shared" si="0"/>
        <v>2.896271186440678</v>
      </c>
      <c r="F26" s="8">
        <f t="shared" si="1"/>
        <v>5458.0259471186437</v>
      </c>
      <c r="G26" s="8">
        <f t="shared" si="2"/>
        <v>5.4580259471186441</v>
      </c>
    </row>
    <row r="27" spans="1:7" x14ac:dyDescent="0.25">
      <c r="A27" s="1">
        <v>25000</v>
      </c>
      <c r="B27" s="2">
        <v>580</v>
      </c>
      <c r="C27" s="2">
        <f>Table14[[#This Row],[Elev_CEM1]]-B37</f>
        <v>128</v>
      </c>
      <c r="D27" s="8">
        <f>Table14[[#This Row],[distance]]/$A$179</f>
        <v>0.14124293785310735</v>
      </c>
      <c r="E27" s="8">
        <f t="shared" si="0"/>
        <v>3.0169491525423728</v>
      </c>
      <c r="F27" s="8">
        <f t="shared" si="1"/>
        <v>4704.3273050847456</v>
      </c>
      <c r="G27" s="8">
        <f t="shared" si="2"/>
        <v>4.7043273050847452</v>
      </c>
    </row>
    <row r="28" spans="1:7" x14ac:dyDescent="0.25">
      <c r="A28" s="1">
        <v>26000</v>
      </c>
      <c r="B28" s="2">
        <v>559</v>
      </c>
      <c r="C28" s="2">
        <f>Table14[[#This Row],[Elev_CEM1]]-B38</f>
        <v>125</v>
      </c>
      <c r="D28" s="8">
        <f>Table14[[#This Row],[distance]]/$A$179</f>
        <v>0.14689265536723164</v>
      </c>
      <c r="E28" s="8">
        <f t="shared" si="0"/>
        <v>3.1376271186440681</v>
      </c>
      <c r="F28" s="8">
        <f t="shared" si="1"/>
        <v>4918.6635010169493</v>
      </c>
      <c r="G28" s="8">
        <f t="shared" si="2"/>
        <v>4.9186635010169493</v>
      </c>
    </row>
    <row r="29" spans="1:7" x14ac:dyDescent="0.25">
      <c r="A29" s="1">
        <v>27000</v>
      </c>
      <c r="B29" s="2">
        <v>548</v>
      </c>
      <c r="C29" s="2">
        <f>Table14[[#This Row],[Elev_CEM1]]-B39</f>
        <v>128</v>
      </c>
      <c r="D29" s="8">
        <f>Table14[[#This Row],[distance]]/$A$179</f>
        <v>0.15254237288135594</v>
      </c>
      <c r="E29" s="8">
        <f t="shared" si="0"/>
        <v>3.2583050847457629</v>
      </c>
      <c r="F29" s="8">
        <f t="shared" si="1"/>
        <v>4971.9959816949149</v>
      </c>
      <c r="G29" s="8">
        <f t="shared" si="2"/>
        <v>4.9719959816949153</v>
      </c>
    </row>
    <row r="30" spans="1:7" x14ac:dyDescent="0.25">
      <c r="A30" s="1">
        <v>28000</v>
      </c>
      <c r="B30" s="2">
        <v>529</v>
      </c>
      <c r="C30" s="2">
        <f>Table14[[#This Row],[Elev_CEM1]]-B40</f>
        <v>117</v>
      </c>
      <c r="D30" s="8">
        <f>Table14[[#This Row],[distance]]/$A$179</f>
        <v>0.15819209039548024</v>
      </c>
      <c r="E30" s="8">
        <f t="shared" si="0"/>
        <v>3.3789830508474576</v>
      </c>
      <c r="F30" s="8">
        <f t="shared" si="1"/>
        <v>5156.1439810169477</v>
      </c>
      <c r="G30" s="8">
        <f t="shared" si="2"/>
        <v>5.1561439810169478</v>
      </c>
    </row>
    <row r="31" spans="1:7" x14ac:dyDescent="0.25">
      <c r="A31" s="1">
        <v>29000</v>
      </c>
      <c r="B31" s="2">
        <v>511</v>
      </c>
      <c r="C31" s="2">
        <f>Table14[[#This Row],[Elev_CEM1]]-B41</f>
        <v>118</v>
      </c>
      <c r="D31" s="8">
        <f>Table14[[#This Row],[distance]]/$A$179</f>
        <v>0.16384180790960451</v>
      </c>
      <c r="E31" s="8">
        <f t="shared" si="0"/>
        <v>3.4996610169491524</v>
      </c>
      <c r="F31" s="8">
        <f t="shared" si="1"/>
        <v>5340.2919803389823</v>
      </c>
      <c r="G31" s="8">
        <f t="shared" si="2"/>
        <v>5.3402919803389821</v>
      </c>
    </row>
    <row r="32" spans="1:7" x14ac:dyDescent="0.25">
      <c r="A32" s="1">
        <v>30000</v>
      </c>
      <c r="B32" s="2">
        <v>486</v>
      </c>
      <c r="C32" s="2">
        <f>Table14[[#This Row],[Elev_CEM1]]-B42</f>
        <v>112</v>
      </c>
      <c r="D32" s="8">
        <f>Table14[[#This Row],[distance]]/$A$179</f>
        <v>0.16949152542372881</v>
      </c>
      <c r="E32" s="8">
        <f t="shared" si="0"/>
        <v>3.6203389830508472</v>
      </c>
      <c r="F32" s="8">
        <f t="shared" si="1"/>
        <v>5131.9934237288135</v>
      </c>
      <c r="G32" s="8">
        <f t="shared" si="2"/>
        <v>5.1319934237288134</v>
      </c>
    </row>
    <row r="33" spans="1:7" x14ac:dyDescent="0.25">
      <c r="A33" s="1">
        <v>31000</v>
      </c>
      <c r="B33" s="2">
        <v>473</v>
      </c>
      <c r="C33" s="2">
        <f>Table14[[#This Row],[Elev_CEM1]]-B43</f>
        <v>106</v>
      </c>
      <c r="D33" s="8">
        <f>Table14[[#This Row],[distance]]/$A$179</f>
        <v>0.1751412429378531</v>
      </c>
      <c r="E33" s="8">
        <f t="shared" si="0"/>
        <v>3.741016949152542</v>
      </c>
      <c r="F33" s="8">
        <f t="shared" si="1"/>
        <v>4866.3372935593216</v>
      </c>
      <c r="G33" s="8">
        <f t="shared" si="2"/>
        <v>4.8663372935593214</v>
      </c>
    </row>
    <row r="34" spans="1:7" x14ac:dyDescent="0.25">
      <c r="A34" s="1">
        <v>32000</v>
      </c>
      <c r="B34" s="2">
        <v>462</v>
      </c>
      <c r="C34" s="2">
        <f>Table14[[#This Row],[Elev_CEM1]]-B44</f>
        <v>109</v>
      </c>
      <c r="D34" s="8">
        <f>Table14[[#This Row],[distance]]/$A$179</f>
        <v>0.1807909604519774</v>
      </c>
      <c r="E34" s="8">
        <f t="shared" si="0"/>
        <v>3.8616949152542372</v>
      </c>
      <c r="F34" s="8">
        <f t="shared" si="1"/>
        <v>4669.1077423728821</v>
      </c>
      <c r="G34" s="8">
        <f t="shared" si="2"/>
        <v>4.6691077423728817</v>
      </c>
    </row>
    <row r="35" spans="1:7" x14ac:dyDescent="0.25">
      <c r="A35" s="1">
        <v>33000</v>
      </c>
      <c r="B35" s="2">
        <v>451</v>
      </c>
      <c r="C35" s="2">
        <f>Table14[[#This Row],[Elev_CEM1]]-B45</f>
        <v>107</v>
      </c>
      <c r="D35" s="8">
        <f>Table14[[#This Row],[distance]]/$A$179</f>
        <v>0.1864406779661017</v>
      </c>
      <c r="E35" s="8">
        <f t="shared" si="0"/>
        <v>3.982372881355932</v>
      </c>
      <c r="F35" s="8">
        <f t="shared" si="1"/>
        <v>4549.3612291525415</v>
      </c>
      <c r="G35" s="8">
        <f t="shared" si="2"/>
        <v>4.5493612291525416</v>
      </c>
    </row>
    <row r="36" spans="1:7" x14ac:dyDescent="0.25">
      <c r="A36" s="1">
        <v>34000</v>
      </c>
      <c r="B36" s="2">
        <v>447</v>
      </c>
      <c r="C36" s="2">
        <f>Table14[[#This Row],[Elev_CEM1]]-B46</f>
        <v>120</v>
      </c>
      <c r="D36" s="8">
        <f>Table14[[#This Row],[distance]]/$A$179</f>
        <v>0.19209039548022599</v>
      </c>
      <c r="E36" s="8">
        <f t="shared" si="0"/>
        <v>4.1030508474576273</v>
      </c>
      <c r="F36" s="8">
        <f t="shared" si="1"/>
        <v>4721.4339498305089</v>
      </c>
      <c r="G36" s="8">
        <f t="shared" si="2"/>
        <v>4.7214339498305087</v>
      </c>
    </row>
    <row r="37" spans="1:7" x14ac:dyDescent="0.25">
      <c r="A37" s="1">
        <v>35000</v>
      </c>
      <c r="B37" s="2">
        <v>452</v>
      </c>
      <c r="C37" s="2">
        <f>Table14[[#This Row],[Elev_CEM1]]-B47</f>
        <v>133</v>
      </c>
      <c r="D37" s="8">
        <f>Table14[[#This Row],[distance]]/$A$179</f>
        <v>0.19774011299435029</v>
      </c>
      <c r="E37" s="8">
        <f t="shared" si="0"/>
        <v>4.2237288135593225</v>
      </c>
      <c r="F37" s="8">
        <f t="shared" si="1"/>
        <v>4508.1040271186448</v>
      </c>
      <c r="G37" s="8">
        <f t="shared" si="2"/>
        <v>4.5081040271186446</v>
      </c>
    </row>
    <row r="38" spans="1:7" x14ac:dyDescent="0.25">
      <c r="A38" s="1">
        <v>36000</v>
      </c>
      <c r="B38" s="2">
        <v>434</v>
      </c>
      <c r="C38" s="2">
        <f>Table14[[#This Row],[Elev_CEM1]]-B48</f>
        <v>116</v>
      </c>
      <c r="D38" s="8">
        <f>Table14[[#This Row],[distance]]/$A$179</f>
        <v>0.20338983050847459</v>
      </c>
      <c r="E38" s="8">
        <f t="shared" si="0"/>
        <v>4.3444067796610168</v>
      </c>
      <c r="F38" s="8">
        <f t="shared" si="1"/>
        <v>4528.2294915254242</v>
      </c>
      <c r="G38" s="8">
        <f t="shared" si="2"/>
        <v>4.5282294915254244</v>
      </c>
    </row>
    <row r="39" spans="1:7" x14ac:dyDescent="0.25">
      <c r="A39" s="1">
        <v>37000</v>
      </c>
      <c r="B39" s="2">
        <v>420</v>
      </c>
      <c r="C39" s="2">
        <f>Table14[[#This Row],[Elev_CEM1]]-B49</f>
        <v>115</v>
      </c>
      <c r="D39" s="8">
        <f>Table14[[#This Row],[distance]]/$A$179</f>
        <v>0.20903954802259886</v>
      </c>
      <c r="E39" s="8">
        <f t="shared" si="0"/>
        <v>4.4650847457627112</v>
      </c>
      <c r="F39" s="8">
        <f t="shared" si="1"/>
        <v>4765.7099715254235</v>
      </c>
      <c r="G39" s="8">
        <f t="shared" si="2"/>
        <v>4.7657099715254239</v>
      </c>
    </row>
    <row r="40" spans="1:7" x14ac:dyDescent="0.25">
      <c r="A40" s="1">
        <v>38000</v>
      </c>
      <c r="B40" s="2">
        <v>412</v>
      </c>
      <c r="C40" s="2">
        <f>Table14[[#This Row],[Elev_CEM1]]-B50</f>
        <v>116</v>
      </c>
      <c r="D40" s="8">
        <f>Table14[[#This Row],[distance]]/$A$179</f>
        <v>0.21468926553672316</v>
      </c>
      <c r="E40" s="8">
        <f t="shared" si="0"/>
        <v>4.5857627118644064</v>
      </c>
      <c r="F40" s="8">
        <f t="shared" si="1"/>
        <v>4473.8907376271191</v>
      </c>
      <c r="G40" s="8">
        <f t="shared" si="2"/>
        <v>4.4738907376271193</v>
      </c>
    </row>
    <row r="41" spans="1:7" x14ac:dyDescent="0.25">
      <c r="A41" s="1">
        <v>39000</v>
      </c>
      <c r="B41" s="2">
        <v>393</v>
      </c>
      <c r="C41" s="2">
        <f>Table14[[#This Row],[Elev_CEM1]]-B51</f>
        <v>100</v>
      </c>
      <c r="D41" s="8">
        <f>Table14[[#This Row],[distance]]/$A$179</f>
        <v>0.22033898305084745</v>
      </c>
      <c r="E41" s="8">
        <f t="shared" si="0"/>
        <v>4.7064406779661017</v>
      </c>
      <c r="F41" s="8">
        <f t="shared" si="1"/>
        <v>4630.8693600000006</v>
      </c>
      <c r="G41" s="8">
        <f t="shared" si="2"/>
        <v>4.6308693600000002</v>
      </c>
    </row>
    <row r="42" spans="1:7" x14ac:dyDescent="0.25">
      <c r="A42" s="1">
        <v>40000</v>
      </c>
      <c r="B42" s="2">
        <v>374</v>
      </c>
      <c r="C42" s="2">
        <f>Table14[[#This Row],[Elev_CEM1]]-B52</f>
        <v>92</v>
      </c>
      <c r="D42" s="8">
        <f>Table14[[#This Row],[distance]]/$A$179</f>
        <v>0.22598870056497175</v>
      </c>
      <c r="E42" s="8">
        <f t="shared" si="0"/>
        <v>4.8271186440677969</v>
      </c>
      <c r="F42" s="8">
        <f t="shared" si="1"/>
        <v>4508.1040271186439</v>
      </c>
      <c r="G42" s="8">
        <f t="shared" si="2"/>
        <v>4.5081040271186437</v>
      </c>
    </row>
    <row r="43" spans="1:7" x14ac:dyDescent="0.25">
      <c r="A43" s="1">
        <v>41000</v>
      </c>
      <c r="B43" s="2">
        <v>367</v>
      </c>
      <c r="C43" s="2">
        <f>Table14[[#This Row],[Elev_CEM1]]-B53</f>
        <v>90</v>
      </c>
      <c r="D43" s="8">
        <f>Table14[[#This Row],[distance]]/$A$179</f>
        <v>0.23163841807909605</v>
      </c>
      <c r="E43" s="8">
        <f t="shared" si="0"/>
        <v>4.9477966101694912</v>
      </c>
      <c r="F43" s="8">
        <f t="shared" si="1"/>
        <v>4373.2634155932201</v>
      </c>
      <c r="G43" s="8">
        <f t="shared" si="2"/>
        <v>4.37326341559322</v>
      </c>
    </row>
    <row r="44" spans="1:7" x14ac:dyDescent="0.25">
      <c r="A44" s="1">
        <v>42000</v>
      </c>
      <c r="B44" s="2">
        <v>353</v>
      </c>
      <c r="C44" s="2">
        <f>Table14[[#This Row],[Elev_CEM1]]-B54</f>
        <v>81</v>
      </c>
      <c r="D44" s="8">
        <f>Table14[[#This Row],[distance]]/$A$179</f>
        <v>0.23728813559322035</v>
      </c>
      <c r="E44" s="8">
        <f t="shared" si="0"/>
        <v>5.0684745762711865</v>
      </c>
      <c r="F44" s="8">
        <f t="shared" si="1"/>
        <v>4606.7188027118636</v>
      </c>
      <c r="G44" s="8">
        <f t="shared" si="2"/>
        <v>4.606718802711864</v>
      </c>
    </row>
    <row r="45" spans="1:7" x14ac:dyDescent="0.25">
      <c r="A45" s="1">
        <v>43000</v>
      </c>
      <c r="B45" s="2">
        <v>344</v>
      </c>
      <c r="C45" s="2">
        <f>Table14[[#This Row],[Elev_CEM1]]-B55</f>
        <v>81</v>
      </c>
      <c r="D45" s="8">
        <f>Table14[[#This Row],[distance]]/$A$179</f>
        <v>0.24293785310734464</v>
      </c>
      <c r="E45" s="8">
        <f t="shared" si="0"/>
        <v>5.1891525423728817</v>
      </c>
      <c r="F45" s="8">
        <f t="shared" si="1"/>
        <v>4629.863086779661</v>
      </c>
      <c r="G45" s="8">
        <f t="shared" si="2"/>
        <v>4.6298630867796611</v>
      </c>
    </row>
    <row r="46" spans="1:7" x14ac:dyDescent="0.25">
      <c r="A46" s="1">
        <v>44000</v>
      </c>
      <c r="B46" s="2">
        <v>327</v>
      </c>
      <c r="C46" s="2">
        <f>Table14[[#This Row],[Elev_CEM1]]-B56</f>
        <v>67</v>
      </c>
      <c r="D46" s="8">
        <f>Table14[[#This Row],[distance]]/$A$179</f>
        <v>0.24858757062146894</v>
      </c>
      <c r="E46" s="8">
        <f t="shared" si="0"/>
        <v>5.309830508474576</v>
      </c>
      <c r="F46" s="8">
        <f t="shared" si="1"/>
        <v>5313.1226033898301</v>
      </c>
      <c r="G46" s="8">
        <f t="shared" si="2"/>
        <v>5.3131226033898304</v>
      </c>
    </row>
    <row r="47" spans="1:7" x14ac:dyDescent="0.25">
      <c r="A47" s="1">
        <v>45000</v>
      </c>
      <c r="B47" s="2">
        <v>319</v>
      </c>
      <c r="C47" s="2">
        <f>Table14[[#This Row],[Elev_CEM1]]-B57</f>
        <v>68</v>
      </c>
      <c r="D47" s="8">
        <f>Table14[[#This Row],[distance]]/$A$179</f>
        <v>0.25423728813559321</v>
      </c>
      <c r="E47" s="8">
        <f t="shared" si="0"/>
        <v>5.4305084745762704</v>
      </c>
      <c r="F47" s="8">
        <f t="shared" si="1"/>
        <v>6022.5452237288127</v>
      </c>
      <c r="G47" s="8">
        <f t="shared" si="2"/>
        <v>6.0225452237288124</v>
      </c>
    </row>
    <row r="48" spans="1:7" x14ac:dyDescent="0.25">
      <c r="A48" s="1">
        <v>46000</v>
      </c>
      <c r="B48" s="2">
        <v>318</v>
      </c>
      <c r="C48" s="2">
        <f>Table14[[#This Row],[Elev_CEM1]]-B58</f>
        <v>66</v>
      </c>
      <c r="D48" s="8">
        <f>Table14[[#This Row],[distance]]/$A$179</f>
        <v>0.25988700564971751</v>
      </c>
      <c r="E48" s="8">
        <f t="shared" si="0"/>
        <v>5.5511864406779656</v>
      </c>
      <c r="F48" s="8">
        <f t="shared" si="1"/>
        <v>5369.4739037288136</v>
      </c>
      <c r="G48" s="8">
        <f t="shared" si="2"/>
        <v>5.3694739037288137</v>
      </c>
    </row>
    <row r="49" spans="1:7" x14ac:dyDescent="0.25">
      <c r="A49" s="1">
        <v>47000</v>
      </c>
      <c r="B49" s="2">
        <v>305</v>
      </c>
      <c r="C49" s="2">
        <f>Table14[[#This Row],[Elev_CEM1]]-B59</f>
        <v>52</v>
      </c>
      <c r="D49" s="8">
        <f>Table14[[#This Row],[distance]]/$A$179</f>
        <v>0.2655367231638418</v>
      </c>
      <c r="E49" s="8">
        <f t="shared" si="0"/>
        <v>5.6718644067796609</v>
      </c>
      <c r="F49" s="8">
        <f t="shared" si="1"/>
        <v>5438.9067559322039</v>
      </c>
      <c r="G49" s="8">
        <f t="shared" si="2"/>
        <v>5.4389067559322042</v>
      </c>
    </row>
    <row r="50" spans="1:7" x14ac:dyDescent="0.25">
      <c r="A50" s="1">
        <v>48000</v>
      </c>
      <c r="B50" s="2">
        <v>296</v>
      </c>
      <c r="C50" s="2">
        <f>Table14[[#This Row],[Elev_CEM1]]-B60</f>
        <v>54</v>
      </c>
      <c r="D50" s="8">
        <f>Table14[[#This Row],[distance]]/$A$179</f>
        <v>0.2711864406779661</v>
      </c>
      <c r="E50" s="8">
        <f t="shared" si="0"/>
        <v>5.7925423728813561</v>
      </c>
      <c r="F50" s="8">
        <f t="shared" si="1"/>
        <v>5602.9292908474581</v>
      </c>
      <c r="G50" s="8">
        <f t="shared" si="2"/>
        <v>5.6029292908474577</v>
      </c>
    </row>
    <row r="51" spans="1:7" x14ac:dyDescent="0.25">
      <c r="A51" s="1">
        <v>49000</v>
      </c>
      <c r="B51" s="2">
        <v>293</v>
      </c>
      <c r="C51" s="2">
        <f>Table14[[#This Row],[Elev_CEM1]]-B61</f>
        <v>57</v>
      </c>
      <c r="D51" s="8">
        <f>Table14[[#This Row],[distance]]/$A$179</f>
        <v>0.2768361581920904</v>
      </c>
      <c r="E51" s="8">
        <f t="shared" si="0"/>
        <v>5.9132203389830504</v>
      </c>
      <c r="F51" s="8">
        <f t="shared" si="1"/>
        <v>4930.7387796610165</v>
      </c>
      <c r="G51" s="8">
        <f t="shared" si="2"/>
        <v>4.9307387796610165</v>
      </c>
    </row>
    <row r="52" spans="1:7" x14ac:dyDescent="0.25">
      <c r="A52" s="1">
        <v>50000</v>
      </c>
      <c r="B52" s="2">
        <v>282</v>
      </c>
      <c r="C52" s="2">
        <f>Table14[[#This Row],[Elev_CEM1]]-B62</f>
        <v>54</v>
      </c>
      <c r="D52" s="8">
        <f>Table14[[#This Row],[distance]]/$A$179</f>
        <v>0.2824858757062147</v>
      </c>
      <c r="E52" s="8">
        <f t="shared" si="0"/>
        <v>6.0338983050847457</v>
      </c>
      <c r="F52" s="8">
        <f t="shared" si="1"/>
        <v>4628.8568135593223</v>
      </c>
      <c r="G52" s="8">
        <f t="shared" si="2"/>
        <v>4.628856813559322</v>
      </c>
    </row>
    <row r="53" spans="1:7" x14ac:dyDescent="0.25">
      <c r="A53" s="1">
        <v>51000</v>
      </c>
      <c r="B53" s="2">
        <v>277</v>
      </c>
      <c r="C53" s="2">
        <f>Table14[[#This Row],[Elev_CEM1]]-B63</f>
        <v>50</v>
      </c>
      <c r="D53" s="8">
        <f>Table14[[#This Row],[distance]]/$A$179</f>
        <v>0.28813559322033899</v>
      </c>
      <c r="E53" s="8">
        <f t="shared" si="0"/>
        <v>6.1545762711864409</v>
      </c>
      <c r="F53" s="8">
        <f t="shared" si="1"/>
        <v>4618.7940813559326</v>
      </c>
      <c r="G53" s="8">
        <f t="shared" si="2"/>
        <v>4.6187940813559329</v>
      </c>
    </row>
    <row r="54" spans="1:7" x14ac:dyDescent="0.25">
      <c r="A54" s="1">
        <v>52000</v>
      </c>
      <c r="B54" s="2">
        <v>272</v>
      </c>
      <c r="C54" s="2">
        <f>Table14[[#This Row],[Elev_CEM1]]-B64</f>
        <v>48</v>
      </c>
      <c r="D54" s="8">
        <f>Table14[[#This Row],[distance]]/$A$179</f>
        <v>0.29378531073446329</v>
      </c>
      <c r="E54" s="8">
        <f t="shared" si="0"/>
        <v>6.2752542372881361</v>
      </c>
      <c r="F54" s="8">
        <f t="shared" si="1"/>
        <v>4238.4228040677972</v>
      </c>
      <c r="G54" s="8">
        <f t="shared" si="2"/>
        <v>4.2384228040677971</v>
      </c>
    </row>
    <row r="55" spans="1:7" x14ac:dyDescent="0.25">
      <c r="A55" s="1">
        <v>53000</v>
      </c>
      <c r="B55" s="2">
        <v>263</v>
      </c>
      <c r="C55" s="2">
        <f>Table14[[#This Row],[Elev_CEM1]]-B65</f>
        <v>47</v>
      </c>
      <c r="D55" s="8">
        <f>Table14[[#This Row],[distance]]/$A$179</f>
        <v>0.29943502824858759</v>
      </c>
      <c r="E55" s="8">
        <f t="shared" si="0"/>
        <v>6.3959322033898305</v>
      </c>
      <c r="F55" s="8">
        <f t="shared" si="1"/>
        <v>4319.9309349152545</v>
      </c>
      <c r="G55" s="8">
        <f t="shared" si="2"/>
        <v>4.3199309349152548</v>
      </c>
    </row>
    <row r="56" spans="1:7" x14ac:dyDescent="0.25">
      <c r="A56" s="1">
        <v>54000</v>
      </c>
      <c r="B56" s="2">
        <v>260</v>
      </c>
      <c r="C56" s="2">
        <f>Table14[[#This Row],[Elev_CEM1]]-B66</f>
        <v>49</v>
      </c>
      <c r="D56" s="8">
        <f>Table14[[#This Row],[distance]]/$A$179</f>
        <v>0.30508474576271188</v>
      </c>
      <c r="E56" s="8">
        <f t="shared" si="0"/>
        <v>6.5166101694915257</v>
      </c>
      <c r="F56" s="8">
        <f t="shared" si="1"/>
        <v>3640.6965111864411</v>
      </c>
      <c r="G56" s="8">
        <f t="shared" si="2"/>
        <v>3.6406965111864409</v>
      </c>
    </row>
    <row r="57" spans="1:7" x14ac:dyDescent="0.25">
      <c r="A57" s="1">
        <v>55000</v>
      </c>
      <c r="B57" s="2">
        <v>251</v>
      </c>
      <c r="C57" s="2">
        <f>Table14[[#This Row],[Elev_CEM1]]-B67</f>
        <v>44</v>
      </c>
      <c r="D57" s="8">
        <f>Table14[[#This Row],[distance]]/$A$179</f>
        <v>0.31073446327683618</v>
      </c>
      <c r="E57" s="8">
        <f t="shared" si="0"/>
        <v>6.637288135593221</v>
      </c>
      <c r="F57" s="8">
        <f t="shared" si="1"/>
        <v>3763.4618440677978</v>
      </c>
      <c r="G57" s="8">
        <f t="shared" si="2"/>
        <v>3.7634618440677978</v>
      </c>
    </row>
    <row r="58" spans="1:7" x14ac:dyDescent="0.25">
      <c r="A58" s="1">
        <v>56000</v>
      </c>
      <c r="B58" s="2">
        <v>252</v>
      </c>
      <c r="C58" s="2">
        <f>Table14[[#This Row],[Elev_CEM1]]-B68</f>
        <v>48</v>
      </c>
      <c r="D58" s="8">
        <f>Table14[[#This Row],[distance]]/$A$179</f>
        <v>0.31638418079096048</v>
      </c>
      <c r="E58" s="8">
        <f t="shared" si="0"/>
        <v>6.7579661016949153</v>
      </c>
      <c r="F58" s="8">
        <f t="shared" si="1"/>
        <v>3719.1858223728814</v>
      </c>
      <c r="G58" s="8">
        <f t="shared" si="2"/>
        <v>3.7191858223728813</v>
      </c>
    </row>
    <row r="59" spans="1:7" x14ac:dyDescent="0.25">
      <c r="A59" s="1">
        <v>57000</v>
      </c>
      <c r="B59" s="2">
        <v>253</v>
      </c>
      <c r="C59" s="2">
        <f>Table14[[#This Row],[Elev_CEM1]]-B69</f>
        <v>52</v>
      </c>
      <c r="D59" s="8">
        <f>Table14[[#This Row],[distance]]/$A$179</f>
        <v>0.32203389830508472</v>
      </c>
      <c r="E59" s="8">
        <f t="shared" si="0"/>
        <v>6.8786440677966096</v>
      </c>
      <c r="F59" s="8">
        <f t="shared" si="1"/>
        <v>2982.5938250847453</v>
      </c>
      <c r="G59" s="8">
        <f t="shared" si="2"/>
        <v>2.9825938250847455</v>
      </c>
    </row>
    <row r="60" spans="1:7" x14ac:dyDescent="0.25">
      <c r="A60" s="1">
        <v>58000</v>
      </c>
      <c r="B60" s="2">
        <v>242</v>
      </c>
      <c r="C60" s="2">
        <f>Table14[[#This Row],[Elev_CEM1]]-B70</f>
        <v>49</v>
      </c>
      <c r="D60" s="8">
        <f>Table14[[#This Row],[distance]]/$A$179</f>
        <v>0.32768361581920902</v>
      </c>
      <c r="E60" s="8">
        <f t="shared" si="0"/>
        <v>6.9993220338983049</v>
      </c>
      <c r="F60" s="8">
        <f t="shared" si="1"/>
        <v>3151.6477261016948</v>
      </c>
      <c r="G60" s="8">
        <f t="shared" si="2"/>
        <v>3.1516477261016949</v>
      </c>
    </row>
    <row r="61" spans="1:7" x14ac:dyDescent="0.25">
      <c r="A61" s="1">
        <v>59000</v>
      </c>
      <c r="B61" s="2">
        <v>236</v>
      </c>
      <c r="C61" s="2">
        <f>Table14[[#This Row],[Elev_CEM1]]-B71</f>
        <v>42</v>
      </c>
      <c r="D61" s="8">
        <f>Table14[[#This Row],[distance]]/$A$179</f>
        <v>0.33333333333333331</v>
      </c>
      <c r="E61" s="8">
        <f t="shared" si="0"/>
        <v>7.1199999999999992</v>
      </c>
      <c r="F61" s="8">
        <f t="shared" si="1"/>
        <v>3384.0968399999992</v>
      </c>
      <c r="G61" s="8">
        <f t="shared" si="2"/>
        <v>3.3840968399999993</v>
      </c>
    </row>
    <row r="62" spans="1:7" x14ac:dyDescent="0.25">
      <c r="A62" s="1">
        <v>60000</v>
      </c>
      <c r="B62" s="2">
        <v>228</v>
      </c>
      <c r="C62" s="2">
        <f>Table14[[#This Row],[Elev_CEM1]]-B72</f>
        <v>37</v>
      </c>
      <c r="D62" s="8">
        <f>Table14[[#This Row],[distance]]/$A$179</f>
        <v>0.33898305084745761</v>
      </c>
      <c r="E62" s="8">
        <f t="shared" si="0"/>
        <v>7.2406779661016945</v>
      </c>
      <c r="F62" s="8">
        <f t="shared" si="1"/>
        <v>3260.3252338983052</v>
      </c>
      <c r="G62" s="8">
        <f t="shared" si="2"/>
        <v>3.2603252338983051</v>
      </c>
    </row>
    <row r="63" spans="1:7" x14ac:dyDescent="0.25">
      <c r="A63" s="1">
        <v>61000</v>
      </c>
      <c r="B63" s="2">
        <v>227</v>
      </c>
      <c r="C63" s="2">
        <f>Table14[[#This Row],[Elev_CEM1]]-B73</f>
        <v>45</v>
      </c>
      <c r="D63" s="8">
        <f>Table14[[#This Row],[distance]]/$A$179</f>
        <v>0.34463276836158191</v>
      </c>
      <c r="E63" s="8">
        <f t="shared" si="0"/>
        <v>7.3613559322033897</v>
      </c>
      <c r="F63" s="8">
        <f t="shared" si="1"/>
        <v>3069.1333220338979</v>
      </c>
      <c r="G63" s="8">
        <f t="shared" si="2"/>
        <v>3.0691333220338981</v>
      </c>
    </row>
    <row r="64" spans="1:7" x14ac:dyDescent="0.25">
      <c r="A64" s="1">
        <v>62000</v>
      </c>
      <c r="B64" s="2">
        <v>224</v>
      </c>
      <c r="C64" s="2">
        <f>Table14[[#This Row],[Elev_CEM1]]-B74</f>
        <v>41</v>
      </c>
      <c r="D64" s="8">
        <f>Table14[[#This Row],[distance]]/$A$179</f>
        <v>0.35028248587570621</v>
      </c>
      <c r="E64" s="8">
        <f t="shared" si="0"/>
        <v>7.482033898305084</v>
      </c>
      <c r="F64" s="8">
        <f t="shared" si="1"/>
        <v>2994.6691037288138</v>
      </c>
      <c r="G64" s="8">
        <f t="shared" si="2"/>
        <v>2.9946691037288136</v>
      </c>
    </row>
    <row r="65" spans="1:7" x14ac:dyDescent="0.25">
      <c r="A65" s="1">
        <v>63000</v>
      </c>
      <c r="B65" s="2">
        <v>216</v>
      </c>
      <c r="C65" s="2">
        <f>Table14[[#This Row],[Elev_CEM1]]-B75</f>
        <v>38</v>
      </c>
      <c r="D65" s="8">
        <f>Table14[[#This Row],[distance]]/$A$179</f>
        <v>0.3559322033898305</v>
      </c>
      <c r="E65" s="8">
        <f t="shared" si="0"/>
        <v>7.6027118644067793</v>
      </c>
      <c r="F65" s="8">
        <f t="shared" si="1"/>
        <v>2979.5750054237287</v>
      </c>
      <c r="G65" s="8">
        <f t="shared" si="2"/>
        <v>2.9795750054237287</v>
      </c>
    </row>
    <row r="66" spans="1:7" x14ac:dyDescent="0.25">
      <c r="A66" s="1">
        <v>64000</v>
      </c>
      <c r="B66" s="2">
        <v>211</v>
      </c>
      <c r="C66" s="2">
        <f>Table14[[#This Row],[Elev_CEM1]]-B76</f>
        <v>34</v>
      </c>
      <c r="D66" s="8">
        <f>Table14[[#This Row],[distance]]/$A$179</f>
        <v>0.3615819209039548</v>
      </c>
      <c r="E66" s="8">
        <f t="shared" ref="E66:E129" si="3">21.36*D66</f>
        <v>7.7233898305084745</v>
      </c>
      <c r="F66" s="8">
        <f t="shared" si="1"/>
        <v>3155.672818983051</v>
      </c>
      <c r="G66" s="8">
        <f t="shared" si="2"/>
        <v>3.1556728189830512</v>
      </c>
    </row>
    <row r="67" spans="1:7" x14ac:dyDescent="0.25">
      <c r="A67" s="1">
        <v>65000</v>
      </c>
      <c r="B67" s="2">
        <v>207</v>
      </c>
      <c r="C67" s="2">
        <f>Table14[[#This Row],[Elev_CEM1]]-B77</f>
        <v>35</v>
      </c>
      <c r="D67" s="8">
        <f>Table14[[#This Row],[distance]]/$A$179</f>
        <v>0.3672316384180791</v>
      </c>
      <c r="E67" s="8">
        <f t="shared" si="3"/>
        <v>7.8440677966101697</v>
      </c>
      <c r="F67" s="8">
        <f t="shared" si="1"/>
        <v>2877.9414101694911</v>
      </c>
      <c r="G67" s="8">
        <f t="shared" si="2"/>
        <v>2.8779414101694911</v>
      </c>
    </row>
    <row r="68" spans="1:7" x14ac:dyDescent="0.25">
      <c r="A68" s="1">
        <v>66000</v>
      </c>
      <c r="B68" s="2">
        <v>204</v>
      </c>
      <c r="C68" s="2">
        <f>Table14[[#This Row],[Elev_CEM1]]-B78</f>
        <v>33</v>
      </c>
      <c r="D68" s="8">
        <f>Table14[[#This Row],[distance]]/$A$179</f>
        <v>0.3728813559322034</v>
      </c>
      <c r="E68" s="8">
        <f t="shared" si="3"/>
        <v>7.9647457627118641</v>
      </c>
      <c r="F68" s="8">
        <f t="shared" si="1"/>
        <v>3187.8735620338975</v>
      </c>
      <c r="G68" s="8">
        <f t="shared" si="2"/>
        <v>3.1878735620338974</v>
      </c>
    </row>
    <row r="69" spans="1:7" x14ac:dyDescent="0.25">
      <c r="A69" s="1">
        <v>67000</v>
      </c>
      <c r="B69" s="2">
        <v>201</v>
      </c>
      <c r="C69" s="2">
        <f>Table14[[#This Row],[Elev_CEM1]]-B79</f>
        <v>37</v>
      </c>
      <c r="D69" s="8">
        <f>Table14[[#This Row],[distance]]/$A$179</f>
        <v>0.37853107344632769</v>
      </c>
      <c r="E69" s="8">
        <f t="shared" si="3"/>
        <v>8.0854237288135593</v>
      </c>
      <c r="F69" s="8">
        <f t="shared" si="1"/>
        <v>3505.8558996610172</v>
      </c>
      <c r="G69" s="8">
        <f t="shared" si="2"/>
        <v>3.5058558996610172</v>
      </c>
    </row>
    <row r="70" spans="1:7" x14ac:dyDescent="0.25">
      <c r="A70" s="1">
        <v>68000</v>
      </c>
      <c r="B70" s="2">
        <v>193</v>
      </c>
      <c r="C70" s="2">
        <f>Table14[[#This Row],[Elev_CEM1]]-B80</f>
        <v>28</v>
      </c>
      <c r="D70" s="8">
        <f>Table14[[#This Row],[distance]]/$A$179</f>
        <v>0.38418079096045199</v>
      </c>
      <c r="E70" s="8">
        <f t="shared" si="3"/>
        <v>8.2061016949152545</v>
      </c>
      <c r="F70" s="8">
        <f t="shared" si="1"/>
        <v>3352.9023701694919</v>
      </c>
      <c r="G70" s="8">
        <f t="shared" si="2"/>
        <v>3.3529023701694918</v>
      </c>
    </row>
    <row r="71" spans="1:7" x14ac:dyDescent="0.25">
      <c r="A71" s="1">
        <v>69000</v>
      </c>
      <c r="B71" s="2">
        <v>194</v>
      </c>
      <c r="C71" s="2">
        <f>Table14[[#This Row],[Elev_CEM1]]-B81</f>
        <v>31</v>
      </c>
      <c r="D71" s="8">
        <f>Table14[[#This Row],[distance]]/$A$179</f>
        <v>0.38983050847457629</v>
      </c>
      <c r="E71" s="8">
        <f t="shared" si="3"/>
        <v>8.3267796610169498</v>
      </c>
      <c r="F71" s="8">
        <f t="shared" si="1"/>
        <v>2916.1797925423739</v>
      </c>
      <c r="G71" s="8">
        <f t="shared" si="2"/>
        <v>2.916179792542374</v>
      </c>
    </row>
    <row r="72" spans="1:7" x14ac:dyDescent="0.25">
      <c r="A72" s="1">
        <v>70000</v>
      </c>
      <c r="B72" s="2">
        <v>191</v>
      </c>
      <c r="C72" s="2">
        <f>Table14[[#This Row],[Elev_CEM1]]-B82</f>
        <v>38</v>
      </c>
      <c r="D72" s="8">
        <f>Table14[[#This Row],[distance]]/$A$179</f>
        <v>0.39548022598870058</v>
      </c>
      <c r="E72" s="8">
        <f t="shared" si="3"/>
        <v>8.447457627118645</v>
      </c>
      <c r="F72" s="8">
        <f t="shared" si="1"/>
        <v>2606.2476406779665</v>
      </c>
      <c r="G72" s="8">
        <f t="shared" si="2"/>
        <v>2.6062476406779664</v>
      </c>
    </row>
    <row r="73" spans="1:7" x14ac:dyDescent="0.25">
      <c r="A73" s="1">
        <v>71000</v>
      </c>
      <c r="B73" s="2">
        <v>182</v>
      </c>
      <c r="C73" s="2">
        <f>Table14[[#This Row],[Elev_CEM1]]-B83</f>
        <v>24</v>
      </c>
      <c r="D73" s="8">
        <f>Table14[[#This Row],[distance]]/$A$179</f>
        <v>0.40112994350282488</v>
      </c>
      <c r="E73" s="8">
        <f t="shared" si="3"/>
        <v>8.5681355932203385</v>
      </c>
      <c r="F73" s="8">
        <f t="shared" si="1"/>
        <v>3215.042938983051</v>
      </c>
      <c r="G73" s="8">
        <f t="shared" si="2"/>
        <v>3.2150429389830508</v>
      </c>
    </row>
    <row r="74" spans="1:7" x14ac:dyDescent="0.25">
      <c r="A74" s="1">
        <v>72000</v>
      </c>
      <c r="B74" s="2">
        <v>183</v>
      </c>
      <c r="C74" s="2">
        <f>Table14[[#This Row],[Elev_CEM1]]-B84</f>
        <v>23</v>
      </c>
      <c r="D74" s="8">
        <f>Table14[[#This Row],[distance]]/$A$179</f>
        <v>0.40677966101694918</v>
      </c>
      <c r="E74" s="8">
        <f t="shared" si="3"/>
        <v>8.6888135593220337</v>
      </c>
      <c r="F74" s="8">
        <f t="shared" si="1"/>
        <v>2970.5185464406782</v>
      </c>
      <c r="G74" s="8">
        <f t="shared" si="2"/>
        <v>2.9705185464406783</v>
      </c>
    </row>
    <row r="75" spans="1:7" x14ac:dyDescent="0.25">
      <c r="A75" s="1">
        <v>73000</v>
      </c>
      <c r="B75" s="2">
        <v>178</v>
      </c>
      <c r="C75" s="2">
        <f>Table14[[#This Row],[Elev_CEM1]]-B85</f>
        <v>29</v>
      </c>
      <c r="D75" s="8">
        <f>Table14[[#This Row],[distance]]/$A$179</f>
        <v>0.41242937853107342</v>
      </c>
      <c r="E75" s="8">
        <f t="shared" si="3"/>
        <v>8.8094915254237272</v>
      </c>
      <c r="F75" s="8">
        <f t="shared" si="1"/>
        <v>2791.4019132203389</v>
      </c>
      <c r="G75" s="8">
        <f t="shared" si="2"/>
        <v>2.7914019132203389</v>
      </c>
    </row>
    <row r="76" spans="1:7" x14ac:dyDescent="0.25">
      <c r="A76" s="1">
        <v>74000</v>
      </c>
      <c r="B76" s="2">
        <v>177</v>
      </c>
      <c r="C76" s="2">
        <f>Table14[[#This Row],[Elev_CEM1]]-B86</f>
        <v>21</v>
      </c>
      <c r="D76" s="8">
        <f>Table14[[#This Row],[distance]]/$A$179</f>
        <v>0.41807909604519772</v>
      </c>
      <c r="E76" s="8">
        <f t="shared" si="3"/>
        <v>8.9301694915254224</v>
      </c>
      <c r="F76" s="8">
        <f t="shared" si="1"/>
        <v>2531.783422372881</v>
      </c>
      <c r="G76" s="8">
        <f t="shared" si="2"/>
        <v>2.531783422372881</v>
      </c>
    </row>
    <row r="77" spans="1:7" x14ac:dyDescent="0.25">
      <c r="A77" s="1">
        <v>75000</v>
      </c>
      <c r="B77" s="2">
        <v>172</v>
      </c>
      <c r="C77" s="2">
        <f>Table14[[#This Row],[Elev_CEM1]]-B87</f>
        <v>24</v>
      </c>
      <c r="D77" s="8">
        <f>Table14[[#This Row],[distance]]/$A$179</f>
        <v>0.42372881355932202</v>
      </c>
      <c r="E77" s="8">
        <f t="shared" si="3"/>
        <v>9.0508474576271176</v>
      </c>
      <c r="F77" s="8">
        <f t="shared" ref="F77:F140" si="4">(1000*E77*C67*0.85*9.81)/1000</f>
        <v>2641.4672033898305</v>
      </c>
      <c r="G77" s="8">
        <f t="shared" ref="G77:G140" si="5">F77/1000</f>
        <v>2.6414672033898303</v>
      </c>
    </row>
    <row r="78" spans="1:7" x14ac:dyDescent="0.25">
      <c r="A78" s="1">
        <v>76000</v>
      </c>
      <c r="B78" s="2">
        <v>171</v>
      </c>
      <c r="C78" s="2">
        <f>Table14[[#This Row],[Elev_CEM1]]-B88</f>
        <v>24</v>
      </c>
      <c r="D78" s="8">
        <f>Table14[[#This Row],[distance]]/$A$179</f>
        <v>0.42937853107344631</v>
      </c>
      <c r="E78" s="8">
        <f t="shared" si="3"/>
        <v>9.1715254237288129</v>
      </c>
      <c r="F78" s="8">
        <f t="shared" si="4"/>
        <v>2523.7332366101696</v>
      </c>
      <c r="G78" s="8">
        <f t="shared" si="5"/>
        <v>2.5237332366101697</v>
      </c>
    </row>
    <row r="79" spans="1:7" x14ac:dyDescent="0.25">
      <c r="A79" s="1">
        <v>77000</v>
      </c>
      <c r="B79" s="2">
        <v>164</v>
      </c>
      <c r="C79" s="2">
        <f>Table14[[#This Row],[Elev_CEM1]]-B89</f>
        <v>21</v>
      </c>
      <c r="D79" s="8">
        <f>Table14[[#This Row],[distance]]/$A$179</f>
        <v>0.43502824858757061</v>
      </c>
      <c r="E79" s="8">
        <f t="shared" si="3"/>
        <v>9.2922033898305081</v>
      </c>
      <c r="F79" s="8">
        <f t="shared" si="4"/>
        <v>2866.8724047457631</v>
      </c>
      <c r="G79" s="8">
        <f t="shared" si="5"/>
        <v>2.866872404745763</v>
      </c>
    </row>
    <row r="80" spans="1:7" x14ac:dyDescent="0.25">
      <c r="A80" s="1">
        <v>78000</v>
      </c>
      <c r="B80" s="2">
        <v>165</v>
      </c>
      <c r="C80" s="2">
        <f>Table14[[#This Row],[Elev_CEM1]]-B90</f>
        <v>24</v>
      </c>
      <c r="D80" s="8">
        <f>Table14[[#This Row],[distance]]/$A$179</f>
        <v>0.44067796610169491</v>
      </c>
      <c r="E80" s="8">
        <f t="shared" si="3"/>
        <v>9.4128813559322033</v>
      </c>
      <c r="F80" s="8">
        <f t="shared" si="4"/>
        <v>2197.7007132203389</v>
      </c>
      <c r="G80" s="8">
        <f t="shared" si="5"/>
        <v>2.197700713220339</v>
      </c>
    </row>
    <row r="81" spans="1:7" x14ac:dyDescent="0.25">
      <c r="A81" s="1">
        <v>79000</v>
      </c>
      <c r="B81" s="2">
        <v>163</v>
      </c>
      <c r="C81" s="2">
        <f>Table14[[#This Row],[Elev_CEM1]]-B91</f>
        <v>25</v>
      </c>
      <c r="D81" s="8">
        <f>Table14[[#This Row],[distance]]/$A$179</f>
        <v>0.4463276836158192</v>
      </c>
      <c r="E81" s="8">
        <f t="shared" si="3"/>
        <v>9.5335593220338986</v>
      </c>
      <c r="F81" s="8">
        <f t="shared" si="4"/>
        <v>2464.3631166101695</v>
      </c>
      <c r="G81" s="8">
        <f t="shared" si="5"/>
        <v>2.4643631166101696</v>
      </c>
    </row>
    <row r="82" spans="1:7" x14ac:dyDescent="0.25">
      <c r="A82" s="1">
        <v>80000</v>
      </c>
      <c r="B82" s="2">
        <v>153</v>
      </c>
      <c r="C82" s="2">
        <f>Table14[[#This Row],[Elev_CEM1]]-B92</f>
        <v>9</v>
      </c>
      <c r="D82" s="8">
        <f>Table14[[#This Row],[distance]]/$A$179</f>
        <v>0.4519774011299435</v>
      </c>
      <c r="E82" s="8">
        <f t="shared" si="3"/>
        <v>9.6542372881355938</v>
      </c>
      <c r="F82" s="8">
        <f t="shared" si="4"/>
        <v>3059.0705898305087</v>
      </c>
      <c r="G82" s="8">
        <f t="shared" si="5"/>
        <v>3.0590705898305086</v>
      </c>
    </row>
    <row r="83" spans="1:7" x14ac:dyDescent="0.25">
      <c r="A83" s="1">
        <v>81000</v>
      </c>
      <c r="B83" s="2">
        <v>158</v>
      </c>
      <c r="C83" s="2">
        <f>Table14[[#This Row],[Elev_CEM1]]-B93</f>
        <v>28</v>
      </c>
      <c r="D83" s="8">
        <f>Table14[[#This Row],[distance]]/$A$179</f>
        <v>0.4576271186440678</v>
      </c>
      <c r="E83" s="8">
        <f t="shared" si="3"/>
        <v>9.7749152542372872</v>
      </c>
      <c r="F83" s="8">
        <f t="shared" si="4"/>
        <v>1956.1951403389826</v>
      </c>
      <c r="G83" s="8">
        <f t="shared" si="5"/>
        <v>1.9561951403389826</v>
      </c>
    </row>
    <row r="84" spans="1:7" x14ac:dyDescent="0.25">
      <c r="A84" s="1">
        <v>82000</v>
      </c>
      <c r="B84" s="2">
        <v>160</v>
      </c>
      <c r="C84" s="2">
        <f>Table14[[#This Row],[Elev_CEM1]]-B94</f>
        <v>24</v>
      </c>
      <c r="D84" s="8">
        <f>Table14[[#This Row],[distance]]/$A$179</f>
        <v>0.4632768361581921</v>
      </c>
      <c r="E84" s="8">
        <f t="shared" si="3"/>
        <v>9.8955932203389825</v>
      </c>
      <c r="F84" s="8">
        <f t="shared" si="4"/>
        <v>1897.8312935593219</v>
      </c>
      <c r="G84" s="8">
        <f t="shared" si="5"/>
        <v>1.897831293559322</v>
      </c>
    </row>
    <row r="85" spans="1:7" x14ac:dyDescent="0.25">
      <c r="A85" s="1">
        <v>83000</v>
      </c>
      <c r="B85" s="2">
        <v>149</v>
      </c>
      <c r="C85" s="2">
        <f>Table14[[#This Row],[Elev_CEM1]]-B95</f>
        <v>13</v>
      </c>
      <c r="D85" s="8">
        <f>Table14[[#This Row],[distance]]/$A$179</f>
        <v>0.46892655367231639</v>
      </c>
      <c r="E85" s="8">
        <f t="shared" si="3"/>
        <v>10.016271186440678</v>
      </c>
      <c r="F85" s="8">
        <f t="shared" si="4"/>
        <v>2422.0996413559324</v>
      </c>
      <c r="G85" s="8">
        <f t="shared" si="5"/>
        <v>2.4220996413559321</v>
      </c>
    </row>
    <row r="86" spans="1:7" x14ac:dyDescent="0.25">
      <c r="A86" s="1">
        <v>84000</v>
      </c>
      <c r="B86" s="2">
        <v>156</v>
      </c>
      <c r="C86" s="2">
        <f>Table14[[#This Row],[Elev_CEM1]]-B96</f>
        <v>28</v>
      </c>
      <c r="D86" s="8">
        <f>Table14[[#This Row],[distance]]/$A$179</f>
        <v>0.47457627118644069</v>
      </c>
      <c r="E86" s="8">
        <f t="shared" si="3"/>
        <v>10.136949152542373</v>
      </c>
      <c r="F86" s="8">
        <f t="shared" si="4"/>
        <v>1775.0659606779659</v>
      </c>
      <c r="G86" s="8">
        <f t="shared" si="5"/>
        <v>1.775065960677966</v>
      </c>
    </row>
    <row r="87" spans="1:7" x14ac:dyDescent="0.25">
      <c r="A87" s="1">
        <v>85000</v>
      </c>
      <c r="B87" s="2">
        <v>148</v>
      </c>
      <c r="C87" s="2">
        <f>Table14[[#This Row],[Elev_CEM1]]-B97</f>
        <v>24</v>
      </c>
      <c r="D87" s="8">
        <f>Table14[[#This Row],[distance]]/$A$179</f>
        <v>0.48022598870056499</v>
      </c>
      <c r="E87" s="8">
        <f t="shared" si="3"/>
        <v>10.257627118644068</v>
      </c>
      <c r="F87" s="8">
        <f t="shared" si="4"/>
        <v>2052.7973694915254</v>
      </c>
      <c r="G87" s="8">
        <f t="shared" si="5"/>
        <v>2.0527973694915254</v>
      </c>
    </row>
    <row r="88" spans="1:7" x14ac:dyDescent="0.25">
      <c r="A88" s="1">
        <v>86000</v>
      </c>
      <c r="B88" s="2">
        <v>147</v>
      </c>
      <c r="C88" s="2">
        <f>Table14[[#This Row],[Elev_CEM1]]-B98</f>
        <v>23</v>
      </c>
      <c r="D88" s="8">
        <f>Table14[[#This Row],[distance]]/$A$179</f>
        <v>0.48587570621468928</v>
      </c>
      <c r="E88" s="8">
        <f t="shared" si="3"/>
        <v>10.378305084745763</v>
      </c>
      <c r="F88" s="8">
        <f t="shared" si="4"/>
        <v>2076.947926779661</v>
      </c>
      <c r="G88" s="8">
        <f t="shared" si="5"/>
        <v>2.0769479267796611</v>
      </c>
    </row>
    <row r="89" spans="1:7" x14ac:dyDescent="0.25">
      <c r="A89" s="1">
        <v>87000</v>
      </c>
      <c r="B89" s="2">
        <v>143</v>
      </c>
      <c r="C89" s="2">
        <f>Table14[[#This Row],[Elev_CEM1]]-B99</f>
        <v>25</v>
      </c>
      <c r="D89" s="8">
        <f>Table14[[#This Row],[distance]]/$A$179</f>
        <v>0.49152542372881358</v>
      </c>
      <c r="E89" s="8">
        <f t="shared" si="3"/>
        <v>10.498983050847459</v>
      </c>
      <c r="F89" s="8">
        <f t="shared" si="4"/>
        <v>1838.4611735593226</v>
      </c>
      <c r="G89" s="8">
        <f t="shared" si="5"/>
        <v>1.8384611735593226</v>
      </c>
    </row>
    <row r="90" spans="1:7" x14ac:dyDescent="0.25">
      <c r="A90" s="1">
        <v>88000</v>
      </c>
      <c r="B90" s="2">
        <v>141</v>
      </c>
      <c r="C90" s="2">
        <f>Table14[[#This Row],[Elev_CEM1]]-B100</f>
        <v>27</v>
      </c>
      <c r="D90" s="8">
        <f>Table14[[#This Row],[distance]]/$A$179</f>
        <v>0.49717514124293788</v>
      </c>
      <c r="E90" s="8">
        <f t="shared" si="3"/>
        <v>10.619661016949152</v>
      </c>
      <c r="F90" s="8">
        <f t="shared" si="4"/>
        <v>2125.2490413559321</v>
      </c>
      <c r="G90" s="8">
        <f t="shared" si="5"/>
        <v>2.1252490413559322</v>
      </c>
    </row>
    <row r="91" spans="1:7" x14ac:dyDescent="0.25">
      <c r="A91" s="1">
        <v>89000</v>
      </c>
      <c r="B91" s="2">
        <v>138</v>
      </c>
      <c r="C91" s="2">
        <f>Table14[[#This Row],[Elev_CEM1]]-B101</f>
        <v>13</v>
      </c>
      <c r="D91" s="8">
        <f>Table14[[#This Row],[distance]]/$A$179</f>
        <v>0.50282485875706218</v>
      </c>
      <c r="E91" s="8">
        <f t="shared" si="3"/>
        <v>10.740338983050847</v>
      </c>
      <c r="F91" s="8">
        <f t="shared" si="4"/>
        <v>2238.9579152542374</v>
      </c>
      <c r="G91" s="8">
        <f t="shared" si="5"/>
        <v>2.2389579152542374</v>
      </c>
    </row>
    <row r="92" spans="1:7" x14ac:dyDescent="0.25">
      <c r="A92" s="1">
        <v>90000</v>
      </c>
      <c r="B92" s="2">
        <v>144</v>
      </c>
      <c r="C92" s="2">
        <f>Table14[[#This Row],[Elev_CEM1]]-B102</f>
        <v>33</v>
      </c>
      <c r="D92" s="8">
        <f>Table14[[#This Row],[distance]]/$A$179</f>
        <v>0.50847457627118642</v>
      </c>
      <c r="E92" s="8">
        <f t="shared" si="3"/>
        <v>10.861016949152541</v>
      </c>
      <c r="F92" s="8">
        <f t="shared" si="4"/>
        <v>815.0813084745763</v>
      </c>
      <c r="G92" s="8">
        <f t="shared" si="5"/>
        <v>0.81508130847457627</v>
      </c>
    </row>
    <row r="93" spans="1:7" x14ac:dyDescent="0.25">
      <c r="A93" s="1">
        <v>91000</v>
      </c>
      <c r="B93" s="2">
        <v>130</v>
      </c>
      <c r="C93" s="2">
        <f>Table14[[#This Row],[Elev_CEM1]]-B103</f>
        <v>17</v>
      </c>
      <c r="D93" s="8">
        <f>Table14[[#This Row],[distance]]/$A$179</f>
        <v>0.51412429378531077</v>
      </c>
      <c r="E93" s="8">
        <f t="shared" si="3"/>
        <v>10.981694915254238</v>
      </c>
      <c r="F93" s="8">
        <f t="shared" si="4"/>
        <v>2563.9841654237289</v>
      </c>
      <c r="G93" s="8">
        <f t="shared" si="5"/>
        <v>2.563984165423729</v>
      </c>
    </row>
    <row r="94" spans="1:7" x14ac:dyDescent="0.25">
      <c r="A94" s="1">
        <v>92000</v>
      </c>
      <c r="B94" s="2">
        <v>136</v>
      </c>
      <c r="C94" s="2">
        <f>Table14[[#This Row],[Elev_CEM1]]-B104</f>
        <v>28</v>
      </c>
      <c r="D94" s="8">
        <f>Table14[[#This Row],[distance]]/$A$179</f>
        <v>0.51977401129943501</v>
      </c>
      <c r="E94" s="8">
        <f t="shared" si="3"/>
        <v>11.102372881355931</v>
      </c>
      <c r="F94" s="8">
        <f t="shared" si="4"/>
        <v>2221.8512705084745</v>
      </c>
      <c r="G94" s="8">
        <f t="shared" si="5"/>
        <v>2.2218512705084743</v>
      </c>
    </row>
    <row r="95" spans="1:7" x14ac:dyDescent="0.25">
      <c r="A95" s="1">
        <v>93000</v>
      </c>
      <c r="B95" s="2">
        <v>136</v>
      </c>
      <c r="C95" s="2">
        <f>Table14[[#This Row],[Elev_CEM1]]-B105</f>
        <v>29</v>
      </c>
      <c r="D95" s="8">
        <f>Table14[[#This Row],[distance]]/$A$179</f>
        <v>0.52542372881355937</v>
      </c>
      <c r="E95" s="8">
        <f t="shared" si="3"/>
        <v>11.223050847457628</v>
      </c>
      <c r="F95" s="8">
        <f t="shared" si="4"/>
        <v>1216.5843233898308</v>
      </c>
      <c r="G95" s="8">
        <f t="shared" si="5"/>
        <v>1.2165843233898308</v>
      </c>
    </row>
    <row r="96" spans="1:7" x14ac:dyDescent="0.25">
      <c r="A96" s="1">
        <v>94000</v>
      </c>
      <c r="B96" s="2">
        <v>128</v>
      </c>
      <c r="C96" s="2">
        <f>Table14[[#This Row],[Elev_CEM1]]-B106</f>
        <v>20</v>
      </c>
      <c r="D96" s="8">
        <f>Table14[[#This Row],[distance]]/$A$179</f>
        <v>0.53107344632768361</v>
      </c>
      <c r="E96" s="8">
        <f t="shared" si="3"/>
        <v>11.343728813559322</v>
      </c>
      <c r="F96" s="8">
        <f t="shared" si="4"/>
        <v>2648.5111159322032</v>
      </c>
      <c r="G96" s="8">
        <f t="shared" si="5"/>
        <v>2.648511115932203</v>
      </c>
    </row>
    <row r="97" spans="1:7" x14ac:dyDescent="0.25">
      <c r="A97" s="1">
        <v>95000</v>
      </c>
      <c r="B97" s="2">
        <v>124</v>
      </c>
      <c r="C97" s="2">
        <f>Table14[[#This Row],[Elev_CEM1]]-B107</f>
        <v>21</v>
      </c>
      <c r="D97" s="8">
        <f>Table14[[#This Row],[distance]]/$A$179</f>
        <v>0.53672316384180796</v>
      </c>
      <c r="E97" s="8">
        <f t="shared" si="3"/>
        <v>11.464406779661017</v>
      </c>
      <c r="F97" s="8">
        <f t="shared" si="4"/>
        <v>2294.3029423728808</v>
      </c>
      <c r="G97" s="8">
        <f t="shared" si="5"/>
        <v>2.2943029423728807</v>
      </c>
    </row>
    <row r="98" spans="1:7" x14ac:dyDescent="0.25">
      <c r="A98" s="1">
        <v>96000</v>
      </c>
      <c r="B98" s="2">
        <v>124</v>
      </c>
      <c r="C98" s="2">
        <f>Table14[[#This Row],[Elev_CEM1]]-B108</f>
        <v>26</v>
      </c>
      <c r="D98" s="8">
        <f>Table14[[#This Row],[distance]]/$A$179</f>
        <v>0.5423728813559322</v>
      </c>
      <c r="E98" s="8">
        <f t="shared" si="3"/>
        <v>11.585084745762712</v>
      </c>
      <c r="F98" s="8">
        <f t="shared" si="4"/>
        <v>2221.851270508474</v>
      </c>
      <c r="G98" s="8">
        <f t="shared" si="5"/>
        <v>2.2218512705084739</v>
      </c>
    </row>
    <row r="99" spans="1:7" x14ac:dyDescent="0.25">
      <c r="A99" s="1">
        <v>97000</v>
      </c>
      <c r="B99" s="2">
        <v>118</v>
      </c>
      <c r="C99" s="2">
        <f>Table14[[#This Row],[Elev_CEM1]]-B109</f>
        <v>22</v>
      </c>
      <c r="D99" s="8">
        <f>Table14[[#This Row],[distance]]/$A$179</f>
        <v>0.54802259887005644</v>
      </c>
      <c r="E99" s="8">
        <f t="shared" si="3"/>
        <v>11.705762711864406</v>
      </c>
      <c r="F99" s="8">
        <f t="shared" si="4"/>
        <v>2440.2125593220335</v>
      </c>
      <c r="G99" s="8">
        <f t="shared" si="5"/>
        <v>2.4402125593220334</v>
      </c>
    </row>
    <row r="100" spans="1:7" x14ac:dyDescent="0.25">
      <c r="A100" s="1">
        <v>98000</v>
      </c>
      <c r="B100" s="2">
        <v>114</v>
      </c>
      <c r="C100" s="2">
        <f>Table14[[#This Row],[Elev_CEM1]]-B110</f>
        <v>7</v>
      </c>
      <c r="D100" s="8">
        <f>Table14[[#This Row],[distance]]/$A$179</f>
        <v>0.5536723163841808</v>
      </c>
      <c r="E100" s="8">
        <f t="shared" si="3"/>
        <v>11.826440677966101</v>
      </c>
      <c r="F100" s="8">
        <f t="shared" si="4"/>
        <v>2662.5989410169491</v>
      </c>
      <c r="G100" s="8">
        <f t="shared" si="5"/>
        <v>2.6625989410169493</v>
      </c>
    </row>
    <row r="101" spans="1:7" x14ac:dyDescent="0.25">
      <c r="A101" s="1">
        <v>99000</v>
      </c>
      <c r="B101" s="2">
        <v>125</v>
      </c>
      <c r="C101" s="2">
        <f>Table14[[#This Row],[Elev_CEM1]]-B111</f>
        <v>35</v>
      </c>
      <c r="D101" s="8">
        <f>Table14[[#This Row],[distance]]/$A$179</f>
        <v>0.55932203389830504</v>
      </c>
      <c r="E101" s="8">
        <f t="shared" si="3"/>
        <v>11.947118644067796</v>
      </c>
      <c r="F101" s="8">
        <f t="shared" si="4"/>
        <v>1295.0736345762712</v>
      </c>
      <c r="G101" s="8">
        <f t="shared" si="5"/>
        <v>1.2950736345762712</v>
      </c>
    </row>
    <row r="102" spans="1:7" x14ac:dyDescent="0.25">
      <c r="A102" s="1">
        <v>100000</v>
      </c>
      <c r="B102" s="2">
        <v>111</v>
      </c>
      <c r="C102" s="2">
        <f>Table14[[#This Row],[Elev_CEM1]]-B112</f>
        <v>22</v>
      </c>
      <c r="D102" s="8">
        <f>Table14[[#This Row],[distance]]/$A$179</f>
        <v>0.56497175141242939</v>
      </c>
      <c r="E102" s="8">
        <f t="shared" si="3"/>
        <v>12.067796610169491</v>
      </c>
      <c r="F102" s="8">
        <f t="shared" si="4"/>
        <v>3320.701627118644</v>
      </c>
      <c r="G102" s="8">
        <f t="shared" si="5"/>
        <v>3.3207016271186438</v>
      </c>
    </row>
    <row r="103" spans="1:7" x14ac:dyDescent="0.25">
      <c r="A103" s="1">
        <v>101000</v>
      </c>
      <c r="B103" s="2">
        <v>113</v>
      </c>
      <c r="C103" s="2">
        <f>Table14[[#This Row],[Elev_CEM1]]-B113</f>
        <v>26</v>
      </c>
      <c r="D103" s="8">
        <f>Table14[[#This Row],[distance]]/$A$179</f>
        <v>0.57062146892655363</v>
      </c>
      <c r="E103" s="8">
        <f t="shared" si="3"/>
        <v>12.188474576271185</v>
      </c>
      <c r="F103" s="8">
        <f t="shared" si="4"/>
        <v>1727.7711193220339</v>
      </c>
      <c r="G103" s="8">
        <f t="shared" si="5"/>
        <v>1.727771119322034</v>
      </c>
    </row>
    <row r="104" spans="1:7" x14ac:dyDescent="0.25">
      <c r="A104" s="1">
        <v>102000</v>
      </c>
      <c r="B104" s="2">
        <v>108</v>
      </c>
      <c r="C104" s="2">
        <f>Table14[[#This Row],[Elev_CEM1]]-B114</f>
        <v>15</v>
      </c>
      <c r="D104" s="8">
        <f>Table14[[#This Row],[distance]]/$A$179</f>
        <v>0.57627118644067798</v>
      </c>
      <c r="E104" s="8">
        <f t="shared" si="3"/>
        <v>12.309152542372882</v>
      </c>
      <c r="F104" s="8">
        <f t="shared" si="4"/>
        <v>2873.9163172881363</v>
      </c>
      <c r="G104" s="8">
        <f t="shared" si="5"/>
        <v>2.8739163172881361</v>
      </c>
    </row>
    <row r="105" spans="1:7" x14ac:dyDescent="0.25">
      <c r="A105" s="1">
        <v>103000</v>
      </c>
      <c r="B105" s="2">
        <v>107</v>
      </c>
      <c r="C105" s="2">
        <f>Table14[[#This Row],[Elev_CEM1]]-B115</f>
        <v>14</v>
      </c>
      <c r="D105" s="8">
        <f>Table14[[#This Row],[distance]]/$A$179</f>
        <v>0.58192090395480223</v>
      </c>
      <c r="E105" s="8">
        <f t="shared" si="3"/>
        <v>12.429830508474575</v>
      </c>
      <c r="F105" s="8">
        <f t="shared" si="4"/>
        <v>3005.7381091525422</v>
      </c>
      <c r="G105" s="8">
        <f t="shared" si="5"/>
        <v>3.0057381091525421</v>
      </c>
    </row>
    <row r="106" spans="1:7" x14ac:dyDescent="0.25">
      <c r="A106" s="1">
        <v>104000</v>
      </c>
      <c r="B106" s="2">
        <v>108</v>
      </c>
      <c r="C106" s="2">
        <f>Table14[[#This Row],[Elev_CEM1]]-B116</f>
        <v>25</v>
      </c>
      <c r="D106" s="8">
        <f>Table14[[#This Row],[distance]]/$A$179</f>
        <v>0.58757062146892658</v>
      </c>
      <c r="E106" s="8">
        <f t="shared" si="3"/>
        <v>12.550508474576272</v>
      </c>
      <c r="F106" s="8">
        <f t="shared" si="4"/>
        <v>2093.0482983050852</v>
      </c>
      <c r="G106" s="8">
        <f t="shared" si="5"/>
        <v>2.0930482983050851</v>
      </c>
    </row>
    <row r="107" spans="1:7" x14ac:dyDescent="0.25">
      <c r="A107" s="1">
        <v>105000</v>
      </c>
      <c r="B107" s="2">
        <v>103</v>
      </c>
      <c r="C107" s="2">
        <f>Table14[[#This Row],[Elev_CEM1]]-B117</f>
        <v>20</v>
      </c>
      <c r="D107" s="8">
        <f>Table14[[#This Row],[distance]]/$A$179</f>
        <v>0.59322033898305082</v>
      </c>
      <c r="E107" s="8">
        <f t="shared" si="3"/>
        <v>12.671186440677966</v>
      </c>
      <c r="F107" s="8">
        <f t="shared" si="4"/>
        <v>2218.8324508474575</v>
      </c>
      <c r="G107" s="8">
        <f t="shared" si="5"/>
        <v>2.2188324508474575</v>
      </c>
    </row>
    <row r="108" spans="1:7" x14ac:dyDescent="0.25">
      <c r="A108" s="1">
        <v>106000</v>
      </c>
      <c r="B108" s="2">
        <v>98</v>
      </c>
      <c r="C108" s="2">
        <f>Table14[[#This Row],[Elev_CEM1]]-B118</f>
        <v>16</v>
      </c>
      <c r="D108" s="8">
        <f>Table14[[#This Row],[distance]]/$A$179</f>
        <v>0.59887005649717517</v>
      </c>
      <c r="E108" s="8">
        <f t="shared" si="3"/>
        <v>12.791864406779661</v>
      </c>
      <c r="F108" s="8">
        <f t="shared" si="4"/>
        <v>2773.2889952542378</v>
      </c>
      <c r="G108" s="8">
        <f t="shared" si="5"/>
        <v>2.7732889952542377</v>
      </c>
    </row>
    <row r="109" spans="1:7" x14ac:dyDescent="0.25">
      <c r="A109" s="1">
        <v>107000</v>
      </c>
      <c r="B109" s="2">
        <v>96</v>
      </c>
      <c r="C109" s="2">
        <f>Table14[[#This Row],[Elev_CEM1]]-B119</f>
        <v>12</v>
      </c>
      <c r="D109" s="8">
        <f>Table14[[#This Row],[distance]]/$A$179</f>
        <v>0.60451977401129942</v>
      </c>
      <c r="E109" s="8">
        <f t="shared" si="3"/>
        <v>12.912542372881354</v>
      </c>
      <c r="F109" s="8">
        <f t="shared" si="4"/>
        <v>2368.7671606779663</v>
      </c>
      <c r="G109" s="8">
        <f t="shared" si="5"/>
        <v>2.3687671606779661</v>
      </c>
    </row>
    <row r="110" spans="1:7" x14ac:dyDescent="0.25">
      <c r="A110" s="1">
        <v>108000</v>
      </c>
      <c r="B110" s="2">
        <v>107</v>
      </c>
      <c r="C110" s="2">
        <f>Table14[[#This Row],[Elev_CEM1]]-B120</f>
        <v>30</v>
      </c>
      <c r="D110" s="8">
        <f>Table14[[#This Row],[distance]]/$A$179</f>
        <v>0.61016949152542377</v>
      </c>
      <c r="E110" s="8">
        <f t="shared" si="3"/>
        <v>13.033220338983051</v>
      </c>
      <c r="F110" s="8">
        <f t="shared" si="4"/>
        <v>760.74255457627135</v>
      </c>
      <c r="G110" s="8">
        <f t="shared" si="5"/>
        <v>0.76074255457627138</v>
      </c>
    </row>
    <row r="111" spans="1:7" x14ac:dyDescent="0.25">
      <c r="A111" s="1">
        <v>109000</v>
      </c>
      <c r="B111" s="2">
        <v>90</v>
      </c>
      <c r="C111" s="2">
        <f>Table14[[#This Row],[Elev_CEM1]]-B121</f>
        <v>10</v>
      </c>
      <c r="D111" s="8">
        <f>Table14[[#This Row],[distance]]/$A$179</f>
        <v>0.61581920903954801</v>
      </c>
      <c r="E111" s="8">
        <f t="shared" si="3"/>
        <v>13.153898305084745</v>
      </c>
      <c r="F111" s="8">
        <f t="shared" si="4"/>
        <v>3838.9323355932206</v>
      </c>
      <c r="G111" s="8">
        <f t="shared" si="5"/>
        <v>3.8389323355932206</v>
      </c>
    </row>
    <row r="112" spans="1:7" x14ac:dyDescent="0.25">
      <c r="A112" s="1">
        <v>110000</v>
      </c>
      <c r="B112" s="2">
        <v>89</v>
      </c>
      <c r="C112" s="2">
        <f>Table14[[#This Row],[Elev_CEM1]]-B122</f>
        <v>11</v>
      </c>
      <c r="D112" s="8">
        <f>Table14[[#This Row],[distance]]/$A$179</f>
        <v>0.62146892655367236</v>
      </c>
      <c r="E112" s="8">
        <f t="shared" si="3"/>
        <v>13.274576271186442</v>
      </c>
      <c r="F112" s="8">
        <f t="shared" si="4"/>
        <v>2435.1811932203391</v>
      </c>
      <c r="G112" s="8">
        <f t="shared" si="5"/>
        <v>2.4351811932203389</v>
      </c>
    </row>
    <row r="113" spans="1:7" x14ac:dyDescent="0.25">
      <c r="A113" s="1">
        <v>111000</v>
      </c>
      <c r="B113" s="2">
        <v>87</v>
      </c>
      <c r="C113" s="2">
        <f>Table14[[#This Row],[Elev_CEM1]]-B123</f>
        <v>12</v>
      </c>
      <c r="D113" s="8">
        <f>Table14[[#This Row],[distance]]/$A$179</f>
        <v>0.6271186440677966</v>
      </c>
      <c r="E113" s="8">
        <f t="shared" si="3"/>
        <v>13.395254237288135</v>
      </c>
      <c r="F113" s="8">
        <f t="shared" si="4"/>
        <v>2904.1045138983054</v>
      </c>
      <c r="G113" s="8">
        <f t="shared" si="5"/>
        <v>2.9041045138983055</v>
      </c>
    </row>
    <row r="114" spans="1:7" x14ac:dyDescent="0.25">
      <c r="A114" s="1">
        <v>112000</v>
      </c>
      <c r="B114" s="2">
        <v>93</v>
      </c>
      <c r="C114" s="2">
        <f>Table14[[#This Row],[Elev_CEM1]]-B124</f>
        <v>20</v>
      </c>
      <c r="D114" s="8">
        <f>Table14[[#This Row],[distance]]/$A$179</f>
        <v>0.63276836158192096</v>
      </c>
      <c r="E114" s="8">
        <f t="shared" si="3"/>
        <v>13.515932203389831</v>
      </c>
      <c r="F114" s="8">
        <f t="shared" si="4"/>
        <v>1690.5390101694913</v>
      </c>
      <c r="G114" s="8">
        <f t="shared" si="5"/>
        <v>1.6905390101694913</v>
      </c>
    </row>
    <row r="115" spans="1:7" x14ac:dyDescent="0.25">
      <c r="A115" s="1">
        <v>113000</v>
      </c>
      <c r="B115" s="2">
        <v>93</v>
      </c>
      <c r="C115" s="2">
        <f>Table14[[#This Row],[Elev_CEM1]]-B125</f>
        <v>17</v>
      </c>
      <c r="D115" s="8">
        <f>Table14[[#This Row],[distance]]/$A$179</f>
        <v>0.6384180790960452</v>
      </c>
      <c r="E115" s="8">
        <f t="shared" si="3"/>
        <v>13.636610169491526</v>
      </c>
      <c r="F115" s="8">
        <f t="shared" si="4"/>
        <v>1591.9242345762711</v>
      </c>
      <c r="G115" s="8">
        <f t="shared" si="5"/>
        <v>1.5919242345762712</v>
      </c>
    </row>
    <row r="116" spans="1:7" x14ac:dyDescent="0.25">
      <c r="A116" s="1">
        <v>114000</v>
      </c>
      <c r="B116" s="2">
        <v>83</v>
      </c>
      <c r="C116" s="2">
        <f>Table14[[#This Row],[Elev_CEM1]]-B126</f>
        <v>3</v>
      </c>
      <c r="D116" s="8">
        <f>Table14[[#This Row],[distance]]/$A$179</f>
        <v>0.64406779661016944</v>
      </c>
      <c r="E116" s="8">
        <f t="shared" si="3"/>
        <v>13.757288135593219</v>
      </c>
      <c r="F116" s="8">
        <f t="shared" si="4"/>
        <v>2867.8786779661018</v>
      </c>
      <c r="G116" s="8">
        <f t="shared" si="5"/>
        <v>2.8678786779661016</v>
      </c>
    </row>
    <row r="117" spans="1:7" x14ac:dyDescent="0.25">
      <c r="A117" s="1">
        <v>115000</v>
      </c>
      <c r="B117" s="2">
        <v>83</v>
      </c>
      <c r="C117" s="2">
        <f>Table14[[#This Row],[Elev_CEM1]]-B127</f>
        <v>13</v>
      </c>
      <c r="D117" s="8">
        <f>Table14[[#This Row],[distance]]/$A$179</f>
        <v>0.64971751412429379</v>
      </c>
      <c r="E117" s="8">
        <f t="shared" si="3"/>
        <v>13.877966101694915</v>
      </c>
      <c r="F117" s="8">
        <f t="shared" si="4"/>
        <v>2314.4284067796602</v>
      </c>
      <c r="G117" s="8">
        <f t="shared" si="5"/>
        <v>2.3144284067796601</v>
      </c>
    </row>
    <row r="118" spans="1:7" x14ac:dyDescent="0.25">
      <c r="A118" s="1">
        <v>116000</v>
      </c>
      <c r="B118" s="2">
        <v>82</v>
      </c>
      <c r="C118" s="2">
        <f>Table14[[#This Row],[Elev_CEM1]]-B128</f>
        <v>6</v>
      </c>
      <c r="D118" s="8">
        <f>Table14[[#This Row],[distance]]/$A$179</f>
        <v>0.65536723163841804</v>
      </c>
      <c r="E118" s="8">
        <f t="shared" si="3"/>
        <v>13.99864406779661</v>
      </c>
      <c r="F118" s="8">
        <f t="shared" si="4"/>
        <v>1867.6430969491526</v>
      </c>
      <c r="G118" s="8">
        <f t="shared" si="5"/>
        <v>1.8676430969491526</v>
      </c>
    </row>
    <row r="119" spans="1:7" x14ac:dyDescent="0.25">
      <c r="A119" s="1">
        <v>117000</v>
      </c>
      <c r="B119" s="2">
        <v>84</v>
      </c>
      <c r="C119" s="2">
        <f>Table14[[#This Row],[Elev_CEM1]]-B129</f>
        <v>12</v>
      </c>
      <c r="D119" s="8">
        <f>Table14[[#This Row],[distance]]/$A$179</f>
        <v>0.66101694915254239</v>
      </c>
      <c r="E119" s="8">
        <f t="shared" si="3"/>
        <v>14.119322033898305</v>
      </c>
      <c r="F119" s="8">
        <f t="shared" si="4"/>
        <v>1412.8076013559321</v>
      </c>
      <c r="G119" s="8">
        <f t="shared" si="5"/>
        <v>1.4128076013559321</v>
      </c>
    </row>
    <row r="120" spans="1:7" x14ac:dyDescent="0.25">
      <c r="A120" s="1">
        <v>118000</v>
      </c>
      <c r="B120" s="2">
        <v>77</v>
      </c>
      <c r="C120" s="2">
        <f>Table14[[#This Row],[Elev_CEM1]]-B130</f>
        <v>9</v>
      </c>
      <c r="D120" s="8">
        <f>Table14[[#This Row],[distance]]/$A$179</f>
        <v>0.66666666666666663</v>
      </c>
      <c r="E120" s="8">
        <f t="shared" si="3"/>
        <v>14.239999999999998</v>
      </c>
      <c r="F120" s="8">
        <f t="shared" si="4"/>
        <v>3562.2071999999998</v>
      </c>
      <c r="G120" s="8">
        <f t="shared" si="5"/>
        <v>3.5622072</v>
      </c>
    </row>
    <row r="121" spans="1:7" x14ac:dyDescent="0.25">
      <c r="A121" s="1">
        <v>119000</v>
      </c>
      <c r="B121" s="2">
        <v>80</v>
      </c>
      <c r="C121" s="2">
        <f>Table14[[#This Row],[Elev_CEM1]]-B131</f>
        <v>13</v>
      </c>
      <c r="D121" s="8">
        <f>Table14[[#This Row],[distance]]/$A$179</f>
        <v>0.67231638418079098</v>
      </c>
      <c r="E121" s="8">
        <f t="shared" si="3"/>
        <v>14.360677966101695</v>
      </c>
      <c r="F121" s="8">
        <f t="shared" si="4"/>
        <v>1197.4651322033899</v>
      </c>
      <c r="G121" s="8">
        <f t="shared" si="5"/>
        <v>1.1974651322033898</v>
      </c>
    </row>
    <row r="122" spans="1:7" x14ac:dyDescent="0.25">
      <c r="A122" s="1">
        <v>120000</v>
      </c>
      <c r="B122" s="2">
        <v>78</v>
      </c>
      <c r="C122" s="2">
        <f>Table14[[#This Row],[Elev_CEM1]]-B132</f>
        <v>15</v>
      </c>
      <c r="D122" s="8">
        <f>Table14[[#This Row],[distance]]/$A$179</f>
        <v>0.67796610169491522</v>
      </c>
      <c r="E122" s="8">
        <f t="shared" si="3"/>
        <v>14.481355932203389</v>
      </c>
      <c r="F122" s="8">
        <f t="shared" si="4"/>
        <v>1328.2806508474575</v>
      </c>
      <c r="G122" s="8">
        <f t="shared" si="5"/>
        <v>1.3282806508474576</v>
      </c>
    </row>
    <row r="123" spans="1:7" x14ac:dyDescent="0.25">
      <c r="A123" s="1">
        <v>121000</v>
      </c>
      <c r="B123" s="2">
        <v>75</v>
      </c>
      <c r="C123" s="2">
        <f>Table14[[#This Row],[Elev_CEM1]]-B133</f>
        <v>4</v>
      </c>
      <c r="D123" s="8">
        <f>Table14[[#This Row],[distance]]/$A$179</f>
        <v>0.68361581920903958</v>
      </c>
      <c r="E123" s="8">
        <f t="shared" si="3"/>
        <v>14.602033898305084</v>
      </c>
      <c r="F123" s="8">
        <f t="shared" si="4"/>
        <v>1461.1087159322035</v>
      </c>
      <c r="G123" s="8">
        <f t="shared" si="5"/>
        <v>1.4611087159322036</v>
      </c>
    </row>
    <row r="124" spans="1:7" x14ac:dyDescent="0.25">
      <c r="A124" s="1">
        <v>122000</v>
      </c>
      <c r="B124" s="2">
        <v>73</v>
      </c>
      <c r="C124" s="2">
        <f>Table14[[#This Row],[Elev_CEM1]]-B134</f>
        <v>5</v>
      </c>
      <c r="D124" s="8">
        <f>Table14[[#This Row],[distance]]/$A$179</f>
        <v>0.68926553672316382</v>
      </c>
      <c r="E124" s="8">
        <f t="shared" si="3"/>
        <v>14.722711864406779</v>
      </c>
      <c r="F124" s="8">
        <f t="shared" si="4"/>
        <v>2455.306657627119</v>
      </c>
      <c r="G124" s="8">
        <f t="shared" si="5"/>
        <v>2.4553066576271187</v>
      </c>
    </row>
    <row r="125" spans="1:7" x14ac:dyDescent="0.25">
      <c r="A125" s="1">
        <v>123000</v>
      </c>
      <c r="B125" s="2">
        <v>76</v>
      </c>
      <c r="C125" s="2">
        <f>Table14[[#This Row],[Elev_CEM1]]-B135</f>
        <v>2</v>
      </c>
      <c r="D125" s="8">
        <f>Table14[[#This Row],[distance]]/$A$179</f>
        <v>0.69491525423728817</v>
      </c>
      <c r="E125" s="8">
        <f t="shared" si="3"/>
        <v>14.843389830508475</v>
      </c>
      <c r="F125" s="8">
        <f t="shared" si="4"/>
        <v>2104.1173037288136</v>
      </c>
      <c r="G125" s="8">
        <f t="shared" si="5"/>
        <v>2.1041173037288137</v>
      </c>
    </row>
    <row r="126" spans="1:7" x14ac:dyDescent="0.25">
      <c r="A126" s="1">
        <v>124000</v>
      </c>
      <c r="B126" s="2">
        <v>80</v>
      </c>
      <c r="C126" s="2">
        <f>Table14[[#This Row],[Elev_CEM1]]-B136</f>
        <v>11</v>
      </c>
      <c r="D126" s="8">
        <f>Table14[[#This Row],[distance]]/$A$179</f>
        <v>0.70056497175141241</v>
      </c>
      <c r="E126" s="8">
        <f t="shared" si="3"/>
        <v>14.964067796610168</v>
      </c>
      <c r="F126" s="8">
        <f t="shared" si="4"/>
        <v>374.33363796610172</v>
      </c>
      <c r="G126" s="8">
        <f t="shared" si="5"/>
        <v>0.3743336379661017</v>
      </c>
    </row>
    <row r="127" spans="1:7" x14ac:dyDescent="0.25">
      <c r="A127" s="1">
        <v>125000</v>
      </c>
      <c r="B127" s="2">
        <v>70</v>
      </c>
      <c r="C127" s="2">
        <f>Table14[[#This Row],[Elev_CEM1]]-B137</f>
        <v>4</v>
      </c>
      <c r="D127" s="8">
        <f>Table14[[#This Row],[distance]]/$A$179</f>
        <v>0.70621468926553677</v>
      </c>
      <c r="E127" s="8">
        <f t="shared" si="3"/>
        <v>15.084745762711865</v>
      </c>
      <c r="F127" s="8">
        <f t="shared" si="4"/>
        <v>1635.1939830508477</v>
      </c>
      <c r="G127" s="8">
        <f t="shared" si="5"/>
        <v>1.6351939830508477</v>
      </c>
    </row>
    <row r="128" spans="1:7" x14ac:dyDescent="0.25">
      <c r="A128" s="1">
        <v>126000</v>
      </c>
      <c r="B128" s="2">
        <v>76</v>
      </c>
      <c r="C128" s="2">
        <f>Table14[[#This Row],[Elev_CEM1]]-B138</f>
        <v>10</v>
      </c>
      <c r="D128" s="8">
        <f>Table14[[#This Row],[distance]]/$A$179</f>
        <v>0.71186440677966101</v>
      </c>
      <c r="E128" s="8">
        <f t="shared" si="3"/>
        <v>15.205423728813559</v>
      </c>
      <c r="F128" s="8">
        <f t="shared" si="4"/>
        <v>760.74255457627123</v>
      </c>
      <c r="G128" s="8">
        <f t="shared" si="5"/>
        <v>0.76074255457627127</v>
      </c>
    </row>
    <row r="129" spans="1:7" x14ac:dyDescent="0.25">
      <c r="A129" s="1">
        <v>127000</v>
      </c>
      <c r="B129" s="2">
        <v>72</v>
      </c>
      <c r="C129" s="2">
        <f>Table14[[#This Row],[Elev_CEM1]]-B139</f>
        <v>6</v>
      </c>
      <c r="D129" s="8">
        <f>Table14[[#This Row],[distance]]/$A$179</f>
        <v>0.71751412429378536</v>
      </c>
      <c r="E129" s="8">
        <f t="shared" si="3"/>
        <v>15.326101694915256</v>
      </c>
      <c r="F129" s="8">
        <f t="shared" si="4"/>
        <v>1533.5603877966105</v>
      </c>
      <c r="G129" s="8">
        <f t="shared" si="5"/>
        <v>1.5335603877966104</v>
      </c>
    </row>
    <row r="130" spans="1:7" x14ac:dyDescent="0.25">
      <c r="A130" s="1">
        <v>128000</v>
      </c>
      <c r="B130" s="2">
        <v>68</v>
      </c>
      <c r="C130" s="2">
        <f>Table14[[#This Row],[Elev_CEM1]]-B140</f>
        <v>6</v>
      </c>
      <c r="D130" s="8">
        <f>Table14[[#This Row],[distance]]/$A$179</f>
        <v>0.7231638418079096</v>
      </c>
      <c r="E130" s="8">
        <f t="shared" ref="E130:E179" si="6">21.36*D130</f>
        <v>15.446779661016949</v>
      </c>
      <c r="F130" s="8">
        <f t="shared" si="4"/>
        <v>1159.2267498305084</v>
      </c>
      <c r="G130" s="8">
        <f t="shared" si="5"/>
        <v>1.1592267498305084</v>
      </c>
    </row>
    <row r="131" spans="1:7" x14ac:dyDescent="0.25">
      <c r="A131" s="1">
        <v>129000</v>
      </c>
      <c r="B131" s="2">
        <v>67</v>
      </c>
      <c r="C131" s="2">
        <f>Table14[[#This Row],[Elev_CEM1]]-B141</f>
        <v>-3</v>
      </c>
      <c r="D131" s="8">
        <f>Table14[[#This Row],[distance]]/$A$179</f>
        <v>0.72881355932203384</v>
      </c>
      <c r="E131" s="8">
        <f t="shared" si="6"/>
        <v>15.567457627118642</v>
      </c>
      <c r="F131" s="8">
        <f t="shared" si="4"/>
        <v>1687.5201905084743</v>
      </c>
      <c r="G131" s="8">
        <f t="shared" si="5"/>
        <v>1.6875201905084742</v>
      </c>
    </row>
    <row r="132" spans="1:7" x14ac:dyDescent="0.25">
      <c r="A132" s="1">
        <v>130000</v>
      </c>
      <c r="B132" s="2">
        <v>63</v>
      </c>
      <c r="C132" s="2">
        <f>Table14[[#This Row],[Elev_CEM1]]-B142</f>
        <v>-1</v>
      </c>
      <c r="D132" s="8">
        <f>Table14[[#This Row],[distance]]/$A$179</f>
        <v>0.7344632768361582</v>
      </c>
      <c r="E132" s="8">
        <f t="shared" si="6"/>
        <v>15.688135593220339</v>
      </c>
      <c r="F132" s="8">
        <f t="shared" si="4"/>
        <v>1962.232779661017</v>
      </c>
      <c r="G132" s="8">
        <f t="shared" si="5"/>
        <v>1.9622327796610171</v>
      </c>
    </row>
    <row r="133" spans="1:7" x14ac:dyDescent="0.25">
      <c r="A133" s="1">
        <v>131000</v>
      </c>
      <c r="B133" s="2">
        <v>71</v>
      </c>
      <c r="C133" s="2">
        <f>Table14[[#This Row],[Elev_CEM1]]-B143</f>
        <v>-2</v>
      </c>
      <c r="D133" s="8">
        <f>Table14[[#This Row],[distance]]/$A$179</f>
        <v>0.74011299435028244</v>
      </c>
      <c r="E133" s="8">
        <f t="shared" si="6"/>
        <v>15.808813559322033</v>
      </c>
      <c r="F133" s="8">
        <f t="shared" si="4"/>
        <v>527.28716745762711</v>
      </c>
      <c r="G133" s="8">
        <f t="shared" si="5"/>
        <v>0.52728716745762716</v>
      </c>
    </row>
    <row r="134" spans="1:7" x14ac:dyDescent="0.25">
      <c r="A134" s="1">
        <v>132000</v>
      </c>
      <c r="B134" s="2">
        <v>68</v>
      </c>
      <c r="C134" s="2">
        <f>Table14[[#This Row],[Elev_CEM1]]-B144</f>
        <v>5</v>
      </c>
      <c r="D134" s="8">
        <f>Table14[[#This Row],[distance]]/$A$179</f>
        <v>0.74576271186440679</v>
      </c>
      <c r="E134" s="8">
        <f t="shared" si="6"/>
        <v>15.929491525423728</v>
      </c>
      <c r="F134" s="8">
        <f t="shared" si="4"/>
        <v>664.14032542372877</v>
      </c>
      <c r="G134" s="8">
        <f t="shared" si="5"/>
        <v>0.66414032542372881</v>
      </c>
    </row>
    <row r="135" spans="1:7" x14ac:dyDescent="0.25">
      <c r="A135" s="1">
        <v>133000</v>
      </c>
      <c r="B135" s="2">
        <v>74</v>
      </c>
      <c r="C135" s="2">
        <f>Table14[[#This Row],[Elev_CEM1]]-B145</f>
        <v>6</v>
      </c>
      <c r="D135" s="8">
        <f>Table14[[#This Row],[distance]]/$A$179</f>
        <v>0.75141242937853103</v>
      </c>
      <c r="E135" s="8">
        <f t="shared" si="6"/>
        <v>16.050169491525423</v>
      </c>
      <c r="F135" s="8">
        <f t="shared" si="4"/>
        <v>267.66867661016948</v>
      </c>
      <c r="G135" s="8">
        <f t="shared" si="5"/>
        <v>0.26766867661016946</v>
      </c>
    </row>
    <row r="136" spans="1:7" x14ac:dyDescent="0.25">
      <c r="A136" s="1">
        <v>134000</v>
      </c>
      <c r="B136" s="2">
        <v>69</v>
      </c>
      <c r="C136" s="2">
        <f>Table14[[#This Row],[Elev_CEM1]]-B146</f>
        <v>15</v>
      </c>
      <c r="D136" s="8">
        <f>Table14[[#This Row],[distance]]/$A$179</f>
        <v>0.75706214689265539</v>
      </c>
      <c r="E136" s="8">
        <f t="shared" si="6"/>
        <v>16.170847457627119</v>
      </c>
      <c r="F136" s="8">
        <f t="shared" si="4"/>
        <v>1483.246726779661</v>
      </c>
      <c r="G136" s="8">
        <f t="shared" si="5"/>
        <v>1.483246726779661</v>
      </c>
    </row>
    <row r="137" spans="1:7" x14ac:dyDescent="0.25">
      <c r="A137" s="1">
        <v>135000</v>
      </c>
      <c r="B137" s="2">
        <v>66</v>
      </c>
      <c r="C137" s="2">
        <f>Table14[[#This Row],[Elev_CEM1]]-B147</f>
        <v>1</v>
      </c>
      <c r="D137" s="8">
        <f>Table14[[#This Row],[distance]]/$A$179</f>
        <v>0.76271186440677963</v>
      </c>
      <c r="E137" s="8">
        <f t="shared" si="6"/>
        <v>16.291525423728814</v>
      </c>
      <c r="F137" s="8">
        <f t="shared" si="4"/>
        <v>543.38753898305083</v>
      </c>
      <c r="G137" s="8">
        <f t="shared" si="5"/>
        <v>0.54338753898305081</v>
      </c>
    </row>
    <row r="138" spans="1:7" x14ac:dyDescent="0.25">
      <c r="A138" s="1">
        <v>136000</v>
      </c>
      <c r="B138" s="2">
        <v>66</v>
      </c>
      <c r="C138" s="2">
        <f>Table14[[#This Row],[Elev_CEM1]]-B148</f>
        <v>4</v>
      </c>
      <c r="D138" s="8">
        <f>Table14[[#This Row],[distance]]/$A$179</f>
        <v>0.76836158192090398</v>
      </c>
      <c r="E138" s="8">
        <f t="shared" si="6"/>
        <v>16.412203389830509</v>
      </c>
      <c r="F138" s="8">
        <f t="shared" si="4"/>
        <v>1368.5315796610168</v>
      </c>
      <c r="G138" s="8">
        <f t="shared" si="5"/>
        <v>1.3685315796610169</v>
      </c>
    </row>
    <row r="139" spans="1:7" x14ac:dyDescent="0.25">
      <c r="A139" s="1">
        <v>137000</v>
      </c>
      <c r="B139" s="2">
        <v>66</v>
      </c>
      <c r="C139" s="2">
        <f>Table14[[#This Row],[Elev_CEM1]]-B149</f>
        <v>4</v>
      </c>
      <c r="D139" s="8">
        <f>Table14[[#This Row],[distance]]/$A$179</f>
        <v>0.77401129943502822</v>
      </c>
      <c r="E139" s="8">
        <f t="shared" si="6"/>
        <v>16.532881355932201</v>
      </c>
      <c r="F139" s="8">
        <f t="shared" si="4"/>
        <v>827.15658711864387</v>
      </c>
      <c r="G139" s="8">
        <f t="shared" si="5"/>
        <v>0.82715658711864382</v>
      </c>
    </row>
    <row r="140" spans="1:7" x14ac:dyDescent="0.25">
      <c r="A140" s="1">
        <v>138000</v>
      </c>
      <c r="B140" s="2">
        <v>62</v>
      </c>
      <c r="C140" s="2">
        <f>Table14[[#This Row],[Elev_CEM1]]-B150</f>
        <v>-3</v>
      </c>
      <c r="D140" s="8">
        <f>Table14[[#This Row],[distance]]/$A$179</f>
        <v>0.77966101694915257</v>
      </c>
      <c r="E140" s="8">
        <f t="shared" si="6"/>
        <v>16.6535593220339</v>
      </c>
      <c r="F140" s="8">
        <f t="shared" si="4"/>
        <v>833.19422644067811</v>
      </c>
      <c r="G140" s="8">
        <f t="shared" si="5"/>
        <v>0.83319422644067809</v>
      </c>
    </row>
    <row r="141" spans="1:7" x14ac:dyDescent="0.25">
      <c r="A141" s="1">
        <v>139000</v>
      </c>
      <c r="B141" s="2">
        <v>70</v>
      </c>
      <c r="C141" s="2">
        <f>Table14[[#This Row],[Elev_CEM1]]-B151</f>
        <v>5</v>
      </c>
      <c r="D141" s="8">
        <f>Table14[[#This Row],[distance]]/$A$179</f>
        <v>0.78531073446327682</v>
      </c>
      <c r="E141" s="8">
        <f t="shared" si="6"/>
        <v>16.774237288135591</v>
      </c>
      <c r="F141" s="8">
        <f t="shared" ref="F141:F179" si="7">(1000*E141*C131*0.85*9.81)/1000</f>
        <v>-419.61593288135589</v>
      </c>
      <c r="G141" s="8">
        <f t="shared" ref="G141:G179" si="8">F141/1000</f>
        <v>-0.4196159328813559</v>
      </c>
    </row>
    <row r="142" spans="1:7" x14ac:dyDescent="0.25">
      <c r="A142" s="1">
        <v>140000</v>
      </c>
      <c r="B142" s="2">
        <v>64</v>
      </c>
      <c r="C142" s="2">
        <f>Table14[[#This Row],[Elev_CEM1]]-B152</f>
        <v>1</v>
      </c>
      <c r="D142" s="8">
        <f>Table14[[#This Row],[distance]]/$A$179</f>
        <v>0.79096045197740117</v>
      </c>
      <c r="E142" s="8">
        <f t="shared" si="6"/>
        <v>16.89491525423729</v>
      </c>
      <c r="F142" s="8">
        <f t="shared" si="7"/>
        <v>-140.87825084745765</v>
      </c>
      <c r="G142" s="8">
        <f t="shared" si="8"/>
        <v>-0.14087825084745764</v>
      </c>
    </row>
    <row r="143" spans="1:7" x14ac:dyDescent="0.25">
      <c r="A143" s="1">
        <v>141000</v>
      </c>
      <c r="B143" s="2">
        <v>73</v>
      </c>
      <c r="C143" s="2">
        <f>Table14[[#This Row],[Elev_CEM1]]-B153</f>
        <v>19</v>
      </c>
      <c r="D143" s="8">
        <f>Table14[[#This Row],[distance]]/$A$179</f>
        <v>0.79661016949152541</v>
      </c>
      <c r="E143" s="8">
        <f t="shared" si="6"/>
        <v>17.015593220338982</v>
      </c>
      <c r="F143" s="8">
        <f t="shared" si="7"/>
        <v>-283.76904813559321</v>
      </c>
      <c r="G143" s="8">
        <f t="shared" si="8"/>
        <v>-0.28376904813559323</v>
      </c>
    </row>
    <row r="144" spans="1:7" x14ac:dyDescent="0.25">
      <c r="A144" s="1">
        <v>142000</v>
      </c>
      <c r="B144" s="2">
        <v>63</v>
      </c>
      <c r="C144" s="2">
        <f>Table14[[#This Row],[Elev_CEM1]]-B154</f>
        <v>6</v>
      </c>
      <c r="D144" s="8">
        <f>Table14[[#This Row],[distance]]/$A$179</f>
        <v>0.80225988700564976</v>
      </c>
      <c r="E144" s="8">
        <f t="shared" si="6"/>
        <v>17.136271186440677</v>
      </c>
      <c r="F144" s="8">
        <f t="shared" si="7"/>
        <v>714.45398644067791</v>
      </c>
      <c r="G144" s="8">
        <f t="shared" si="8"/>
        <v>0.71445398644067792</v>
      </c>
    </row>
    <row r="145" spans="1:7" x14ac:dyDescent="0.25">
      <c r="A145" s="1">
        <v>143000</v>
      </c>
      <c r="B145" s="2">
        <v>68</v>
      </c>
      <c r="C145" s="2">
        <f>Table14[[#This Row],[Elev_CEM1]]-B155</f>
        <v>15</v>
      </c>
      <c r="D145" s="8">
        <f>Table14[[#This Row],[distance]]/$A$179</f>
        <v>0.80790960451977401</v>
      </c>
      <c r="E145" s="8">
        <f t="shared" si="6"/>
        <v>17.256949152542372</v>
      </c>
      <c r="F145" s="8">
        <f t="shared" si="7"/>
        <v>863.38242305084736</v>
      </c>
      <c r="G145" s="8">
        <f t="shared" si="8"/>
        <v>0.86338242305084734</v>
      </c>
    </row>
    <row r="146" spans="1:7" x14ac:dyDescent="0.25">
      <c r="A146" s="1">
        <v>144000</v>
      </c>
      <c r="B146" s="2">
        <v>54</v>
      </c>
      <c r="C146" s="2">
        <f>Table14[[#This Row],[Elev_CEM1]]-B156</f>
        <v>5</v>
      </c>
      <c r="D146" s="8">
        <f>Table14[[#This Row],[distance]]/$A$179</f>
        <v>0.81355932203389836</v>
      </c>
      <c r="E146" s="8">
        <f t="shared" si="6"/>
        <v>17.377627118644067</v>
      </c>
      <c r="F146" s="8">
        <f t="shared" si="7"/>
        <v>2173.5501559322033</v>
      </c>
      <c r="G146" s="8">
        <f t="shared" si="8"/>
        <v>2.1735501559322032</v>
      </c>
    </row>
    <row r="147" spans="1:7" x14ac:dyDescent="0.25">
      <c r="A147" s="1">
        <v>145000</v>
      </c>
      <c r="B147" s="2">
        <v>65</v>
      </c>
      <c r="C147" s="2">
        <f>Table14[[#This Row],[Elev_CEM1]]-B157</f>
        <v>11</v>
      </c>
      <c r="D147" s="8">
        <f>Table14[[#This Row],[distance]]/$A$179</f>
        <v>0.8192090395480226</v>
      </c>
      <c r="E147" s="8">
        <f t="shared" si="6"/>
        <v>17.498305084745763</v>
      </c>
      <c r="F147" s="8">
        <f t="shared" si="7"/>
        <v>145.90961694915256</v>
      </c>
      <c r="G147" s="8">
        <f t="shared" si="8"/>
        <v>0.14590961694915255</v>
      </c>
    </row>
    <row r="148" spans="1:7" x14ac:dyDescent="0.25">
      <c r="A148" s="1">
        <v>146000</v>
      </c>
      <c r="B148" s="2">
        <v>62</v>
      </c>
      <c r="C148" s="2">
        <f>Table14[[#This Row],[Elev_CEM1]]-B158</f>
        <v>7</v>
      </c>
      <c r="D148" s="8">
        <f>Table14[[#This Row],[distance]]/$A$179</f>
        <v>0.82485875706214684</v>
      </c>
      <c r="E148" s="8">
        <f t="shared" si="6"/>
        <v>17.618983050847454</v>
      </c>
      <c r="F148" s="8">
        <f t="shared" si="7"/>
        <v>587.66356067796607</v>
      </c>
      <c r="G148" s="8">
        <f t="shared" si="8"/>
        <v>0.5876635606779661</v>
      </c>
    </row>
    <row r="149" spans="1:7" x14ac:dyDescent="0.25">
      <c r="A149" s="1">
        <v>147000</v>
      </c>
      <c r="B149" s="2">
        <v>62</v>
      </c>
      <c r="C149" s="2">
        <f>Table14[[#This Row],[Elev_CEM1]]-B159</f>
        <v>12</v>
      </c>
      <c r="D149" s="8">
        <f>Table14[[#This Row],[distance]]/$A$179</f>
        <v>0.83050847457627119</v>
      </c>
      <c r="E149" s="8">
        <f t="shared" si="6"/>
        <v>17.739661016949153</v>
      </c>
      <c r="F149" s="8">
        <f t="shared" si="7"/>
        <v>591.68865355932212</v>
      </c>
      <c r="G149" s="8">
        <f t="shared" si="8"/>
        <v>0.5916886535593221</v>
      </c>
    </row>
    <row r="150" spans="1:7" x14ac:dyDescent="0.25">
      <c r="A150" s="1">
        <v>148000</v>
      </c>
      <c r="B150" s="2">
        <v>65</v>
      </c>
      <c r="C150" s="2">
        <f>Table14[[#This Row],[Elev_CEM1]]-B160</f>
        <v>14</v>
      </c>
      <c r="D150" s="8">
        <f>Table14[[#This Row],[distance]]/$A$179</f>
        <v>0.83615819209039544</v>
      </c>
      <c r="E150" s="8">
        <f t="shared" si="6"/>
        <v>17.860338983050845</v>
      </c>
      <c r="F150" s="8">
        <f t="shared" si="7"/>
        <v>-446.78530983050842</v>
      </c>
      <c r="G150" s="8">
        <f t="shared" si="8"/>
        <v>-0.4467853098305084</v>
      </c>
    </row>
    <row r="151" spans="1:7" x14ac:dyDescent="0.25">
      <c r="A151" s="1">
        <v>149000</v>
      </c>
      <c r="B151" s="2">
        <v>65</v>
      </c>
      <c r="C151" s="2">
        <f>Table14[[#This Row],[Elev_CEM1]]-B161</f>
        <v>10</v>
      </c>
      <c r="D151" s="8">
        <f>Table14[[#This Row],[distance]]/$A$179</f>
        <v>0.84180790960451979</v>
      </c>
      <c r="E151" s="8">
        <f t="shared" si="6"/>
        <v>17.981016949152544</v>
      </c>
      <c r="F151" s="8">
        <f t="shared" si="7"/>
        <v>749.67354915254248</v>
      </c>
      <c r="G151" s="8">
        <f t="shared" si="8"/>
        <v>0.74967354915254247</v>
      </c>
    </row>
    <row r="152" spans="1:7" x14ac:dyDescent="0.25">
      <c r="A152" s="1">
        <v>150000</v>
      </c>
      <c r="B152" s="2">
        <v>63</v>
      </c>
      <c r="C152" s="2">
        <f>Table14[[#This Row],[Elev_CEM1]]-B162</f>
        <v>2</v>
      </c>
      <c r="D152" s="8">
        <f>Table14[[#This Row],[distance]]/$A$179</f>
        <v>0.84745762711864403</v>
      </c>
      <c r="E152" s="8">
        <f t="shared" si="6"/>
        <v>18.101694915254235</v>
      </c>
      <c r="F152" s="8">
        <f t="shared" si="7"/>
        <v>150.94098305084745</v>
      </c>
      <c r="G152" s="8">
        <f t="shared" si="8"/>
        <v>0.15094098305084744</v>
      </c>
    </row>
    <row r="153" spans="1:7" x14ac:dyDescent="0.25">
      <c r="A153" s="1">
        <v>151000</v>
      </c>
      <c r="B153" s="2">
        <v>54</v>
      </c>
      <c r="C153" s="2">
        <f>Table14[[#This Row],[Elev_CEM1]]-B163</f>
        <v>-8</v>
      </c>
      <c r="D153" s="8">
        <f>Table14[[#This Row],[distance]]/$A$179</f>
        <v>0.85310734463276838</v>
      </c>
      <c r="E153" s="8">
        <f t="shared" si="6"/>
        <v>18.22237288135593</v>
      </c>
      <c r="F153" s="8">
        <f t="shared" si="7"/>
        <v>2886.9978691525421</v>
      </c>
      <c r="G153" s="8">
        <f t="shared" si="8"/>
        <v>2.886997869152542</v>
      </c>
    </row>
    <row r="154" spans="1:7" x14ac:dyDescent="0.25">
      <c r="A154" s="1">
        <v>152000</v>
      </c>
      <c r="B154" s="2">
        <v>57</v>
      </c>
      <c r="C154" s="2">
        <f>Table14[[#This Row],[Elev_CEM1]]-B164</f>
        <v>3</v>
      </c>
      <c r="D154" s="8">
        <f>Table14[[#This Row],[distance]]/$A$179</f>
        <v>0.85875706214689262</v>
      </c>
      <c r="E154" s="8">
        <f t="shared" si="6"/>
        <v>18.343050847457626</v>
      </c>
      <c r="F154" s="8">
        <f t="shared" si="7"/>
        <v>917.72117694915244</v>
      </c>
      <c r="G154" s="8">
        <f t="shared" si="8"/>
        <v>0.91772117694915245</v>
      </c>
    </row>
    <row r="155" spans="1:7" x14ac:dyDescent="0.25">
      <c r="A155" s="1">
        <v>153000</v>
      </c>
      <c r="B155" s="2">
        <v>53</v>
      </c>
      <c r="C155" s="2">
        <f>Table14[[#This Row],[Elev_CEM1]]-B165</f>
        <v>-1</v>
      </c>
      <c r="D155" s="8">
        <f>Table14[[#This Row],[distance]]/$A$179</f>
        <v>0.86440677966101698</v>
      </c>
      <c r="E155" s="8">
        <f t="shared" si="6"/>
        <v>18.463728813559321</v>
      </c>
      <c r="F155" s="8">
        <f t="shared" si="7"/>
        <v>2309.3970406779663</v>
      </c>
      <c r="G155" s="8">
        <f t="shared" si="8"/>
        <v>2.3093970406779665</v>
      </c>
    </row>
    <row r="156" spans="1:7" x14ac:dyDescent="0.25">
      <c r="A156" s="1">
        <v>154000</v>
      </c>
      <c r="B156" s="2">
        <v>49</v>
      </c>
      <c r="C156" s="2">
        <f>Table14[[#This Row],[Elev_CEM1]]-B166</f>
        <v>-7</v>
      </c>
      <c r="D156" s="8">
        <f>Table14[[#This Row],[distance]]/$A$179</f>
        <v>0.87005649717514122</v>
      </c>
      <c r="E156" s="8">
        <f t="shared" si="6"/>
        <v>18.584406779661016</v>
      </c>
      <c r="F156" s="8">
        <f t="shared" si="7"/>
        <v>774.83037966101699</v>
      </c>
      <c r="G156" s="8">
        <f t="shared" si="8"/>
        <v>0.77483037966101698</v>
      </c>
    </row>
    <row r="157" spans="1:7" x14ac:dyDescent="0.25">
      <c r="A157" s="1">
        <v>155000</v>
      </c>
      <c r="B157" s="2">
        <v>54</v>
      </c>
      <c r="C157" s="2">
        <f>Table14[[#This Row],[Elev_CEM1]]-B167</f>
        <v>2</v>
      </c>
      <c r="D157" s="8">
        <f>Table14[[#This Row],[distance]]/$A$179</f>
        <v>0.87570621468926557</v>
      </c>
      <c r="E157" s="8">
        <f t="shared" si="6"/>
        <v>18.705084745762711</v>
      </c>
      <c r="F157" s="8">
        <f t="shared" si="7"/>
        <v>1715.6958406779661</v>
      </c>
      <c r="G157" s="8">
        <f t="shared" si="8"/>
        <v>1.7156958406779661</v>
      </c>
    </row>
    <row r="158" spans="1:7" x14ac:dyDescent="0.25">
      <c r="A158" s="1">
        <v>156000</v>
      </c>
      <c r="B158" s="2">
        <v>55</v>
      </c>
      <c r="C158" s="2">
        <f>Table14[[#This Row],[Elev_CEM1]]-B168</f>
        <v>6</v>
      </c>
      <c r="D158" s="8">
        <f>Table14[[#This Row],[distance]]/$A$179</f>
        <v>0.88135593220338981</v>
      </c>
      <c r="E158" s="8">
        <f t="shared" si="6"/>
        <v>18.825762711864407</v>
      </c>
      <c r="F158" s="8">
        <f t="shared" si="7"/>
        <v>1098.8503566101695</v>
      </c>
      <c r="G158" s="8">
        <f t="shared" si="8"/>
        <v>1.0988503566101695</v>
      </c>
    </row>
    <row r="159" spans="1:7" x14ac:dyDescent="0.25">
      <c r="A159" s="1">
        <v>157000</v>
      </c>
      <c r="B159" s="2">
        <v>50</v>
      </c>
      <c r="C159" s="2">
        <f>Table14[[#This Row],[Elev_CEM1]]-B169</f>
        <v>4</v>
      </c>
      <c r="D159" s="8">
        <f>Table14[[#This Row],[distance]]/$A$179</f>
        <v>0.88700564971751417</v>
      </c>
      <c r="E159" s="8">
        <f t="shared" si="6"/>
        <v>18.946440677966102</v>
      </c>
      <c r="F159" s="8">
        <f t="shared" si="7"/>
        <v>1895.8187471186438</v>
      </c>
      <c r="G159" s="8">
        <f t="shared" si="8"/>
        <v>1.8958187471186438</v>
      </c>
    </row>
    <row r="160" spans="1:7" x14ac:dyDescent="0.25">
      <c r="A160" s="1">
        <v>158000</v>
      </c>
      <c r="B160" s="2">
        <v>51</v>
      </c>
      <c r="C160" s="2">
        <f>Table14[[#This Row],[Elev_CEM1]]-B170</f>
        <v>3</v>
      </c>
      <c r="D160" s="8">
        <f>Table14[[#This Row],[distance]]/$A$179</f>
        <v>0.89265536723163841</v>
      </c>
      <c r="E160" s="8">
        <f t="shared" si="6"/>
        <v>19.067118644067797</v>
      </c>
      <c r="F160" s="8">
        <f t="shared" si="7"/>
        <v>2225.8763633898307</v>
      </c>
      <c r="G160" s="8">
        <f t="shared" si="8"/>
        <v>2.2258763633898306</v>
      </c>
    </row>
    <row r="161" spans="1:7" x14ac:dyDescent="0.25">
      <c r="A161" s="1">
        <v>159000</v>
      </c>
      <c r="B161" s="2">
        <v>55</v>
      </c>
      <c r="C161" s="2">
        <f>Table14[[#This Row],[Elev_CEM1]]-B171</f>
        <v>-2</v>
      </c>
      <c r="D161" s="8">
        <f>Table14[[#This Row],[distance]]/$A$179</f>
        <v>0.89830508474576276</v>
      </c>
      <c r="E161" s="8">
        <f t="shared" si="6"/>
        <v>19.187796610169492</v>
      </c>
      <c r="F161" s="8">
        <f t="shared" si="7"/>
        <v>1599.974420338983</v>
      </c>
      <c r="G161" s="8">
        <f t="shared" si="8"/>
        <v>1.599974420338983</v>
      </c>
    </row>
    <row r="162" spans="1:7" x14ac:dyDescent="0.25">
      <c r="A162" s="1">
        <v>160000</v>
      </c>
      <c r="B162" s="2">
        <v>61</v>
      </c>
      <c r="C162" s="2">
        <f>Table14[[#This Row],[Elev_CEM1]]-B172</f>
        <v>12</v>
      </c>
      <c r="D162" s="8">
        <f>Table14[[#This Row],[distance]]/$A$179</f>
        <v>0.903954802259887</v>
      </c>
      <c r="E162" s="8">
        <f t="shared" si="6"/>
        <v>19.308474576271188</v>
      </c>
      <c r="F162" s="8">
        <f t="shared" si="7"/>
        <v>322.00743050847461</v>
      </c>
      <c r="G162" s="8">
        <f t="shared" si="8"/>
        <v>0.32200743050847463</v>
      </c>
    </row>
    <row r="163" spans="1:7" x14ac:dyDescent="0.25">
      <c r="A163" s="1">
        <v>161000</v>
      </c>
      <c r="B163" s="2">
        <v>62</v>
      </c>
      <c r="C163" s="2">
        <f>Table14[[#This Row],[Elev_CEM1]]-B173</f>
        <v>10</v>
      </c>
      <c r="D163" s="8">
        <f>Table14[[#This Row],[distance]]/$A$179</f>
        <v>0.90960451977401124</v>
      </c>
      <c r="E163" s="8">
        <f t="shared" si="6"/>
        <v>19.429152542372879</v>
      </c>
      <c r="F163" s="8">
        <f t="shared" si="7"/>
        <v>-1296.0799077966099</v>
      </c>
      <c r="G163" s="8">
        <f t="shared" si="8"/>
        <v>-1.2960799077966099</v>
      </c>
    </row>
    <row r="164" spans="1:7" x14ac:dyDescent="0.25">
      <c r="A164" s="1">
        <v>162000</v>
      </c>
      <c r="B164" s="2">
        <v>54</v>
      </c>
      <c r="C164" s="2">
        <f>Table14[[#This Row],[Elev_CEM1]]-B174</f>
        <v>2</v>
      </c>
      <c r="D164" s="8">
        <f>Table14[[#This Row],[distance]]/$A$179</f>
        <v>0.9152542372881356</v>
      </c>
      <c r="E164" s="8">
        <f t="shared" si="6"/>
        <v>19.549830508474574</v>
      </c>
      <c r="F164" s="8">
        <f t="shared" si="7"/>
        <v>489.04878508474565</v>
      </c>
      <c r="G164" s="8">
        <f t="shared" si="8"/>
        <v>0.48904878508474564</v>
      </c>
    </row>
    <row r="165" spans="1:7" x14ac:dyDescent="0.25">
      <c r="A165" s="1">
        <v>163000</v>
      </c>
      <c r="B165" s="2">
        <v>54</v>
      </c>
      <c r="C165" s="2">
        <f>Table14[[#This Row],[Elev_CEM1]]-B175</f>
        <v>0</v>
      </c>
      <c r="D165" s="8">
        <f>Table14[[#This Row],[distance]]/$A$179</f>
        <v>0.92090395480225984</v>
      </c>
      <c r="E165" s="8">
        <f t="shared" si="6"/>
        <v>19.67050847457627</v>
      </c>
      <c r="F165" s="8">
        <f t="shared" si="7"/>
        <v>-164.02253491525423</v>
      </c>
      <c r="G165" s="8">
        <f t="shared" si="8"/>
        <v>-0.16402253491525423</v>
      </c>
    </row>
    <row r="166" spans="1:7" x14ac:dyDescent="0.25">
      <c r="A166" s="1">
        <v>164000</v>
      </c>
      <c r="B166" s="2">
        <v>56</v>
      </c>
      <c r="C166" s="2">
        <f>Table14[[#This Row],[Elev_CEM1]]-B176</f>
        <v>4</v>
      </c>
      <c r="D166" s="8">
        <f>Table14[[#This Row],[distance]]/$A$179</f>
        <v>0.92655367231638419</v>
      </c>
      <c r="E166" s="8">
        <f t="shared" si="6"/>
        <v>19.791186440677965</v>
      </c>
      <c r="F166" s="8">
        <f t="shared" si="7"/>
        <v>-1155.2016569491525</v>
      </c>
      <c r="G166" s="8">
        <f t="shared" si="8"/>
        <v>-1.1552016569491526</v>
      </c>
    </row>
    <row r="167" spans="1:7" x14ac:dyDescent="0.25">
      <c r="A167" s="1">
        <v>165000</v>
      </c>
      <c r="B167" s="2">
        <v>52</v>
      </c>
      <c r="C167" s="2">
        <f>Table14[[#This Row],[Elev_CEM1]]-B177</f>
        <v>3</v>
      </c>
      <c r="D167" s="8">
        <f>Table14[[#This Row],[distance]]/$A$179</f>
        <v>0.93220338983050843</v>
      </c>
      <c r="E167" s="8">
        <f t="shared" si="6"/>
        <v>19.91186440677966</v>
      </c>
      <c r="F167" s="8">
        <f t="shared" si="7"/>
        <v>332.07016271186438</v>
      </c>
      <c r="G167" s="8">
        <f t="shared" si="8"/>
        <v>0.3320701627118644</v>
      </c>
    </row>
    <row r="168" spans="1:7" x14ac:dyDescent="0.25">
      <c r="A168" s="1">
        <v>166000</v>
      </c>
      <c r="B168" s="2">
        <v>49</v>
      </c>
      <c r="C168" s="2">
        <f>Table14[[#This Row],[Elev_CEM1]]-B178</f>
        <v>-4</v>
      </c>
      <c r="D168" s="8">
        <f>Table14[[#This Row],[distance]]/$A$179</f>
        <v>0.93785310734463279</v>
      </c>
      <c r="E168" s="8">
        <f t="shared" si="6"/>
        <v>20.032542372881355</v>
      </c>
      <c r="F168" s="8">
        <f t="shared" si="7"/>
        <v>1002.2481274576271</v>
      </c>
      <c r="G168" s="8">
        <f t="shared" si="8"/>
        <v>1.0022481274576271</v>
      </c>
    </row>
    <row r="169" spans="1:7" x14ac:dyDescent="0.25">
      <c r="A169" s="1">
        <v>167000</v>
      </c>
      <c r="B169" s="2">
        <v>46</v>
      </c>
      <c r="C169" s="2">
        <f>Table14[[#This Row],[Elev_CEM1]]-B179</f>
        <v>-8</v>
      </c>
      <c r="D169" s="8">
        <f>Table14[[#This Row],[distance]]/$A$179</f>
        <v>0.94350282485875703</v>
      </c>
      <c r="E169" s="8">
        <f t="shared" si="6"/>
        <v>20.153220338983051</v>
      </c>
      <c r="F169" s="8">
        <f t="shared" si="7"/>
        <v>672.19051118644063</v>
      </c>
      <c r="G169" s="8">
        <f t="shared" si="8"/>
        <v>0.67219051118644058</v>
      </c>
    </row>
    <row r="170" spans="1:7" x14ac:dyDescent="0.25">
      <c r="A170" s="1">
        <v>168000</v>
      </c>
      <c r="B170" s="2">
        <v>48</v>
      </c>
      <c r="C170" s="2">
        <f>Table14[[#This Row],[Elev_CEM1]]-B180</f>
        <v>48</v>
      </c>
      <c r="D170" s="8">
        <f>Table14[[#This Row],[distance]]/$A$179</f>
        <v>0.94915254237288138</v>
      </c>
      <c r="E170" s="8">
        <f t="shared" si="6"/>
        <v>20.273898305084746</v>
      </c>
      <c r="F170" s="8">
        <f t="shared" si="7"/>
        <v>507.16170305084745</v>
      </c>
      <c r="G170" s="8">
        <f t="shared" si="8"/>
        <v>0.5071617030508474</v>
      </c>
    </row>
    <row r="171" spans="1:7" x14ac:dyDescent="0.25">
      <c r="A171" s="1">
        <v>169000</v>
      </c>
      <c r="B171" s="2">
        <v>57</v>
      </c>
      <c r="C171" s="2">
        <f>Table14[[#This Row],[Elev_CEM1]]-B181</f>
        <v>57</v>
      </c>
      <c r="D171" s="8">
        <f>Table14[[#This Row],[distance]]/$A$179</f>
        <v>0.95480225988700562</v>
      </c>
      <c r="E171" s="8">
        <f t="shared" si="6"/>
        <v>20.394576271186441</v>
      </c>
      <c r="F171" s="8">
        <f t="shared" si="7"/>
        <v>-340.12034847457625</v>
      </c>
      <c r="G171" s="8">
        <f t="shared" si="8"/>
        <v>-0.34012034847457623</v>
      </c>
    </row>
    <row r="172" spans="1:7" x14ac:dyDescent="0.25">
      <c r="A172" s="1">
        <v>170000</v>
      </c>
      <c r="B172" s="2">
        <v>49</v>
      </c>
      <c r="C172" s="2">
        <f>Table14[[#This Row],[Elev_CEM1]]-B182</f>
        <v>49</v>
      </c>
      <c r="D172" s="8">
        <f>Table14[[#This Row],[distance]]/$A$179</f>
        <v>0.96045197740112997</v>
      </c>
      <c r="E172" s="8">
        <f t="shared" si="6"/>
        <v>20.515254237288136</v>
      </c>
      <c r="F172" s="8">
        <f t="shared" si="7"/>
        <v>2052.7973694915254</v>
      </c>
      <c r="G172" s="8">
        <f t="shared" si="8"/>
        <v>2.0527973694915254</v>
      </c>
    </row>
    <row r="173" spans="1:7" x14ac:dyDescent="0.25">
      <c r="A173" s="1">
        <v>171000</v>
      </c>
      <c r="B173" s="2">
        <v>52</v>
      </c>
      <c r="C173" s="2">
        <f>Table14[[#This Row],[Elev_CEM1]]-B183</f>
        <v>52</v>
      </c>
      <c r="D173" s="8">
        <f>Table14[[#This Row],[distance]]/$A$179</f>
        <v>0.96610169491525422</v>
      </c>
      <c r="E173" s="8">
        <f t="shared" si="6"/>
        <v>20.635932203389828</v>
      </c>
      <c r="F173" s="8">
        <f t="shared" si="7"/>
        <v>1720.7272067796609</v>
      </c>
      <c r="G173" s="8">
        <f t="shared" si="8"/>
        <v>1.7207272067796608</v>
      </c>
    </row>
    <row r="174" spans="1:7" x14ac:dyDescent="0.25">
      <c r="A174" s="1">
        <v>172000</v>
      </c>
      <c r="B174" s="2">
        <v>52</v>
      </c>
      <c r="C174" s="2">
        <f>Table14[[#This Row],[Elev_CEM1]]-B184</f>
        <v>52</v>
      </c>
      <c r="D174" s="8">
        <f>Table14[[#This Row],[distance]]/$A$179</f>
        <v>0.97175141242937857</v>
      </c>
      <c r="E174" s="8">
        <f t="shared" si="6"/>
        <v>20.756610169491527</v>
      </c>
      <c r="F174" s="8">
        <f t="shared" si="7"/>
        <v>346.15798779661014</v>
      </c>
      <c r="G174" s="8">
        <f t="shared" si="8"/>
        <v>0.34615798779661017</v>
      </c>
    </row>
    <row r="175" spans="1:7" x14ac:dyDescent="0.25">
      <c r="A175" s="1">
        <v>173000</v>
      </c>
      <c r="B175" s="2">
        <v>54</v>
      </c>
      <c r="C175" s="2">
        <f>Table14[[#This Row],[Elev_CEM1]]-B185</f>
        <v>54</v>
      </c>
      <c r="D175" s="8">
        <f>Table14[[#This Row],[distance]]/$A$179</f>
        <v>0.97740112994350281</v>
      </c>
      <c r="E175" s="8">
        <f t="shared" si="6"/>
        <v>20.877288135593218</v>
      </c>
      <c r="F175" s="8">
        <f t="shared" si="7"/>
        <v>0</v>
      </c>
      <c r="G175" s="8">
        <f t="shared" si="8"/>
        <v>0</v>
      </c>
    </row>
    <row r="176" spans="1:7" x14ac:dyDescent="0.25">
      <c r="A176" s="1">
        <v>174000</v>
      </c>
      <c r="B176" s="2">
        <v>52</v>
      </c>
      <c r="C176" s="2">
        <f>Table14[[#This Row],[Elev_CEM1]]-B186</f>
        <v>52</v>
      </c>
      <c r="D176" s="8">
        <f>Table14[[#This Row],[distance]]/$A$179</f>
        <v>0.98305084745762716</v>
      </c>
      <c r="E176" s="8">
        <f t="shared" si="6"/>
        <v>20.997966101694917</v>
      </c>
      <c r="F176" s="8">
        <f t="shared" si="7"/>
        <v>700.36616135593238</v>
      </c>
      <c r="G176" s="8">
        <f t="shared" si="8"/>
        <v>0.70036616135593233</v>
      </c>
    </row>
    <row r="177" spans="1:7" x14ac:dyDescent="0.25">
      <c r="A177" s="1">
        <v>175000</v>
      </c>
      <c r="B177" s="2">
        <v>49</v>
      </c>
      <c r="C177" s="2">
        <f>Table14[[#This Row],[Elev_CEM1]]-B187</f>
        <v>49</v>
      </c>
      <c r="D177" s="8">
        <f>Table14[[#This Row],[distance]]/$A$179</f>
        <v>0.98870056497175141</v>
      </c>
      <c r="E177" s="8">
        <f t="shared" si="6"/>
        <v>21.118644067796609</v>
      </c>
      <c r="F177" s="8">
        <f t="shared" si="7"/>
        <v>528.29344067796615</v>
      </c>
      <c r="G177" s="8">
        <f t="shared" si="8"/>
        <v>0.52829344067796613</v>
      </c>
    </row>
    <row r="178" spans="1:7" x14ac:dyDescent="0.25">
      <c r="A178" s="1">
        <v>176000</v>
      </c>
      <c r="B178" s="2">
        <v>53</v>
      </c>
      <c r="C178" s="2">
        <f>Table14[[#This Row],[Elev_CEM1]]-B188</f>
        <v>53</v>
      </c>
      <c r="D178" s="8">
        <f>Table14[[#This Row],[distance]]/$A$179</f>
        <v>0.99435028248587576</v>
      </c>
      <c r="E178" s="8">
        <f t="shared" si="6"/>
        <v>21.239322033898304</v>
      </c>
      <c r="F178" s="8">
        <f t="shared" si="7"/>
        <v>-708.41634711864401</v>
      </c>
      <c r="G178" s="8">
        <f t="shared" si="8"/>
        <v>-0.70841634711864399</v>
      </c>
    </row>
    <row r="179" spans="1:7" x14ac:dyDescent="0.25">
      <c r="A179" s="1">
        <v>177000</v>
      </c>
      <c r="B179" s="2">
        <v>54</v>
      </c>
      <c r="C179" s="2">
        <f>Table14[[#This Row],[Elev_CEM1]]-B189</f>
        <v>54</v>
      </c>
      <c r="D179" s="8">
        <f>Table14[[#This Row],[distance]]/$A$179</f>
        <v>1</v>
      </c>
      <c r="E179" s="8">
        <f t="shared" si="6"/>
        <v>21.36</v>
      </c>
      <c r="F179" s="8">
        <f t="shared" si="7"/>
        <v>-1424.8828800000001</v>
      </c>
      <c r="G179" s="8">
        <f t="shared" si="8"/>
        <v>-1.4248828800000002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62DC1-3F02-4637-8ADE-7EA5E3FAE6EC}">
  <dimension ref="A1:B4"/>
  <sheetViews>
    <sheetView workbookViewId="0">
      <selection activeCell="C2" sqref="C2"/>
    </sheetView>
  </sheetViews>
  <sheetFormatPr baseColWidth="10" defaultRowHeight="15" x14ac:dyDescent="0.25"/>
  <sheetData>
    <row r="1" spans="1:2" x14ac:dyDescent="0.25">
      <c r="A1">
        <v>187.40467736549999</v>
      </c>
    </row>
    <row r="2" spans="1:2" x14ac:dyDescent="0.25">
      <c r="A2">
        <v>160.04060000000001</v>
      </c>
      <c r="B2">
        <f>A2/$A$4</f>
        <v>0.85398391822617037</v>
      </c>
    </row>
    <row r="3" spans="1:2" x14ac:dyDescent="0.25">
      <c r="A3">
        <v>27.364100000000001</v>
      </c>
      <c r="B3" s="8">
        <f>A3/$A$4</f>
        <v>0.14601608177382958</v>
      </c>
    </row>
    <row r="4" spans="1:2" x14ac:dyDescent="0.25">
      <c r="A4">
        <f>SUM(A2:A3)</f>
        <v>187.40470000000002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A5233-8D7B-4929-8A1C-60F2F28A6697}">
  <dimension ref="A1:G179"/>
  <sheetViews>
    <sheetView workbookViewId="0">
      <pane ySplit="1" topLeftCell="A8" activePane="bottomLeft" state="frozen"/>
      <selection pane="bottomLeft" activeCell="G17" sqref="G17"/>
    </sheetView>
  </sheetViews>
  <sheetFormatPr baseColWidth="10" defaultRowHeight="15" x14ac:dyDescent="0.25"/>
  <cols>
    <col min="1" max="1" width="22.42578125" style="8" customWidth="1"/>
    <col min="2" max="16384" width="11.42578125" style="8"/>
  </cols>
  <sheetData>
    <row r="1" spans="1:7" x14ac:dyDescent="0.25">
      <c r="A1" s="1" t="s">
        <v>0</v>
      </c>
      <c r="B1" s="2" t="s">
        <v>1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</row>
    <row r="2" spans="1:7" x14ac:dyDescent="0.25">
      <c r="A2" s="1">
        <v>0</v>
      </c>
      <c r="B2" s="2">
        <v>1606</v>
      </c>
      <c r="C2" s="2">
        <f>Table145[[#This Row],[Elev_CEM1]]-B17</f>
        <v>839</v>
      </c>
      <c r="D2" s="8">
        <f>Table145[[#This Row],[distance]]/$A$179</f>
        <v>0</v>
      </c>
      <c r="E2" s="8">
        <f t="shared" ref="E2:E65" si="0">21.36*D2</f>
        <v>0</v>
      </c>
    </row>
    <row r="3" spans="1:7" x14ac:dyDescent="0.25">
      <c r="A3" s="1">
        <v>1000</v>
      </c>
      <c r="B3" s="2">
        <v>1500</v>
      </c>
      <c r="C3" s="2">
        <f>Table145[[#This Row],[Elev_CEM1]]-B18</f>
        <v>753</v>
      </c>
      <c r="D3" s="8">
        <f>Table145[[#This Row],[distance]]/$A$179</f>
        <v>5.6497175141242938E-3</v>
      </c>
      <c r="E3" s="8">
        <f t="shared" si="0"/>
        <v>0.12067796610169491</v>
      </c>
    </row>
    <row r="4" spans="1:7" x14ac:dyDescent="0.25">
      <c r="A4" s="1">
        <v>2000</v>
      </c>
      <c r="B4" s="2">
        <v>1440</v>
      </c>
      <c r="C4" s="2">
        <f>Table145[[#This Row],[Elev_CEM1]]-B19</f>
        <v>709</v>
      </c>
      <c r="D4" s="8">
        <f>Table145[[#This Row],[distance]]/$A$179</f>
        <v>1.1299435028248588E-2</v>
      </c>
      <c r="E4" s="8">
        <f t="shared" si="0"/>
        <v>0.24135593220338983</v>
      </c>
    </row>
    <row r="5" spans="1:7" x14ac:dyDescent="0.25">
      <c r="A5" s="1">
        <v>3000</v>
      </c>
      <c r="B5" s="2">
        <v>1336</v>
      </c>
      <c r="C5" s="2">
        <f>Table145[[#This Row],[Elev_CEM1]]-B20</f>
        <v>624</v>
      </c>
      <c r="D5" s="8">
        <f>Table145[[#This Row],[distance]]/$A$179</f>
        <v>1.6949152542372881E-2</v>
      </c>
      <c r="E5" s="8">
        <f t="shared" si="0"/>
        <v>0.36203389830508476</v>
      </c>
    </row>
    <row r="6" spans="1:7" x14ac:dyDescent="0.25">
      <c r="A6" s="1">
        <v>4000</v>
      </c>
      <c r="B6" s="2">
        <v>1257</v>
      </c>
      <c r="C6" s="2">
        <f>Table145[[#This Row],[Elev_CEM1]]-B21</f>
        <v>563</v>
      </c>
      <c r="D6" s="8">
        <f>Table145[[#This Row],[distance]]/$A$179</f>
        <v>2.2598870056497175E-2</v>
      </c>
      <c r="E6" s="8">
        <f t="shared" si="0"/>
        <v>0.48271186440677966</v>
      </c>
    </row>
    <row r="7" spans="1:7" x14ac:dyDescent="0.25">
      <c r="A7" s="1">
        <v>5000</v>
      </c>
      <c r="B7" s="2">
        <v>1199</v>
      </c>
      <c r="C7" s="2">
        <f>Table145[[#This Row],[Elev_CEM1]]-B22</f>
        <v>543</v>
      </c>
      <c r="D7" s="8">
        <f>Table145[[#This Row],[distance]]/$A$179</f>
        <v>2.8248587570621469E-2</v>
      </c>
      <c r="E7" s="8">
        <f t="shared" si="0"/>
        <v>0.60338983050847461</v>
      </c>
    </row>
    <row r="8" spans="1:7" x14ac:dyDescent="0.25">
      <c r="A8" s="1">
        <v>6000</v>
      </c>
      <c r="B8" s="2">
        <v>1133</v>
      </c>
      <c r="C8" s="2">
        <f>Table145[[#This Row],[Elev_CEM1]]-B23</f>
        <v>504</v>
      </c>
      <c r="D8" s="8">
        <f>Table145[[#This Row],[distance]]/$A$179</f>
        <v>3.3898305084745763E-2</v>
      </c>
      <c r="E8" s="8">
        <f t="shared" si="0"/>
        <v>0.72406779661016951</v>
      </c>
    </row>
    <row r="9" spans="1:7" x14ac:dyDescent="0.25">
      <c r="A9" s="1">
        <v>7000</v>
      </c>
      <c r="B9" s="2">
        <v>1056</v>
      </c>
      <c r="C9" s="2">
        <f>Table145[[#This Row],[Elev_CEM1]]-B24</f>
        <v>449</v>
      </c>
      <c r="D9" s="8">
        <f>Table145[[#This Row],[distance]]/$A$179</f>
        <v>3.954802259887006E-2</v>
      </c>
      <c r="E9" s="8">
        <f t="shared" si="0"/>
        <v>0.84474576271186441</v>
      </c>
    </row>
    <row r="10" spans="1:7" x14ac:dyDescent="0.25">
      <c r="A10" s="1">
        <v>8000</v>
      </c>
      <c r="B10" s="2">
        <v>997</v>
      </c>
      <c r="C10" s="2">
        <f>Table145[[#This Row],[Elev_CEM1]]-B25</f>
        <v>409</v>
      </c>
      <c r="D10" s="8">
        <f>Table145[[#This Row],[distance]]/$A$179</f>
        <v>4.519774011299435E-2</v>
      </c>
      <c r="E10" s="8">
        <f t="shared" si="0"/>
        <v>0.96542372881355931</v>
      </c>
    </row>
    <row r="11" spans="1:7" x14ac:dyDescent="0.25">
      <c r="A11" s="1">
        <v>9000</v>
      </c>
      <c r="B11" s="2">
        <v>956</v>
      </c>
      <c r="C11" s="2">
        <f>Table145[[#This Row],[Elev_CEM1]]-B26</f>
        <v>371</v>
      </c>
      <c r="D11" s="8">
        <f>Table145[[#This Row],[distance]]/$A$179</f>
        <v>5.0847457627118647E-2</v>
      </c>
      <c r="E11" s="8">
        <f t="shared" si="0"/>
        <v>1.0861016949152542</v>
      </c>
    </row>
    <row r="12" spans="1:7" x14ac:dyDescent="0.25">
      <c r="A12" s="1">
        <v>10000</v>
      </c>
      <c r="B12" s="2">
        <v>907</v>
      </c>
      <c r="C12" s="2">
        <f>Table145[[#This Row],[Elev_CEM1]]-B27</f>
        <v>327</v>
      </c>
      <c r="D12" s="8">
        <f>Table145[[#This Row],[distance]]/$A$179</f>
        <v>5.6497175141242938E-2</v>
      </c>
      <c r="E12" s="8">
        <f t="shared" si="0"/>
        <v>1.2067796610169492</v>
      </c>
    </row>
    <row r="13" spans="1:7" x14ac:dyDescent="0.25">
      <c r="A13" s="1">
        <v>11000</v>
      </c>
      <c r="B13" s="2">
        <v>869</v>
      </c>
      <c r="C13" s="2">
        <f>Table145[[#This Row],[Elev_CEM1]]-B28</f>
        <v>310</v>
      </c>
      <c r="D13" s="8">
        <f>Table145[[#This Row],[distance]]/$A$179</f>
        <v>6.2146892655367235E-2</v>
      </c>
      <c r="E13" s="8">
        <f t="shared" si="0"/>
        <v>1.327457627118644</v>
      </c>
    </row>
    <row r="14" spans="1:7" x14ac:dyDescent="0.25">
      <c r="A14" s="1">
        <v>12000</v>
      </c>
      <c r="B14" s="2">
        <v>843</v>
      </c>
      <c r="C14" s="2">
        <f>Table145[[#This Row],[Elev_CEM1]]-B29</f>
        <v>295</v>
      </c>
      <c r="D14" s="8">
        <f>Table145[[#This Row],[distance]]/$A$179</f>
        <v>6.7796610169491525E-2</v>
      </c>
      <c r="E14" s="8">
        <f t="shared" si="0"/>
        <v>1.448135593220339</v>
      </c>
    </row>
    <row r="15" spans="1:7" x14ac:dyDescent="0.25">
      <c r="A15" s="1">
        <v>13000</v>
      </c>
      <c r="B15" s="2">
        <v>835</v>
      </c>
      <c r="C15" s="2">
        <f>Table145[[#This Row],[Elev_CEM1]]-B30</f>
        <v>306</v>
      </c>
      <c r="D15" s="8">
        <f>Table145[[#This Row],[distance]]/$A$179</f>
        <v>7.3446327683615822E-2</v>
      </c>
      <c r="E15" s="8">
        <f t="shared" si="0"/>
        <v>1.568813559322034</v>
      </c>
    </row>
    <row r="16" spans="1:7" x14ac:dyDescent="0.25">
      <c r="A16" s="1">
        <v>14000</v>
      </c>
      <c r="B16" s="2">
        <v>811</v>
      </c>
      <c r="C16" s="2">
        <f>Table145[[#This Row],[Elev_CEM1]]-B31</f>
        <v>300</v>
      </c>
      <c r="D16" s="8">
        <f>Table145[[#This Row],[distance]]/$A$179</f>
        <v>7.909604519774012E-2</v>
      </c>
      <c r="E16" s="8">
        <f t="shared" si="0"/>
        <v>1.6894915254237288</v>
      </c>
    </row>
    <row r="17" spans="1:7" x14ac:dyDescent="0.25">
      <c r="A17" s="1">
        <v>15000</v>
      </c>
      <c r="B17" s="2">
        <v>767</v>
      </c>
      <c r="C17" s="2">
        <f>Table145[[#This Row],[Elev_CEM1]]-B32</f>
        <v>281</v>
      </c>
      <c r="D17" s="8">
        <f>Table145[[#This Row],[distance]]/$A$179</f>
        <v>8.4745762711864403E-2</v>
      </c>
      <c r="E17" s="8">
        <f t="shared" si="0"/>
        <v>1.8101694915254236</v>
      </c>
      <c r="F17" s="8">
        <f>(1000*E17*C2*0.85*9.81)/1000</f>
        <v>12663.948477966102</v>
      </c>
      <c r="G17" s="8">
        <f t="shared" ref="G13:G76" si="1">F17/1000</f>
        <v>12.663948477966102</v>
      </c>
    </row>
    <row r="18" spans="1:7" x14ac:dyDescent="0.25">
      <c r="A18" s="1">
        <v>16000</v>
      </c>
      <c r="B18" s="2">
        <v>747</v>
      </c>
      <c r="C18" s="2">
        <f>Table145[[#This Row],[Elev_CEM1]]-B33</f>
        <v>274</v>
      </c>
      <c r="D18" s="8">
        <f>Table145[[#This Row],[distance]]/$A$179</f>
        <v>9.03954802259887E-2</v>
      </c>
      <c r="E18" s="8">
        <f t="shared" si="0"/>
        <v>1.9308474576271186</v>
      </c>
      <c r="F18" s="8">
        <f t="shared" ref="F18:F81" si="2">(1000*E18*C3*0.85*9.81)/1000</f>
        <v>12123.579758644069</v>
      </c>
      <c r="G18" s="8">
        <f t="shared" si="1"/>
        <v>12.12357975864407</v>
      </c>
    </row>
    <row r="19" spans="1:7" x14ac:dyDescent="0.25">
      <c r="A19" s="1">
        <v>17000</v>
      </c>
      <c r="B19" s="2">
        <v>731</v>
      </c>
      <c r="C19" s="2">
        <f>Table145[[#This Row],[Elev_CEM1]]-B34</f>
        <v>269</v>
      </c>
      <c r="D19" s="8">
        <f>Table145[[#This Row],[distance]]/$A$179</f>
        <v>9.6045197740112997E-2</v>
      </c>
      <c r="E19" s="8">
        <f t="shared" si="0"/>
        <v>2.0515254237288136</v>
      </c>
      <c r="F19" s="8">
        <f t="shared" si="2"/>
        <v>12128.611124745763</v>
      </c>
      <c r="G19" s="8">
        <f t="shared" si="1"/>
        <v>12.128611124745763</v>
      </c>
    </row>
    <row r="20" spans="1:7" x14ac:dyDescent="0.25">
      <c r="A20" s="1">
        <v>18000</v>
      </c>
      <c r="B20" s="2">
        <v>712</v>
      </c>
      <c r="C20" s="2">
        <f>Table145[[#This Row],[Elev_CEM1]]-B35</f>
        <v>261</v>
      </c>
      <c r="D20" s="8">
        <f>Table145[[#This Row],[distance]]/$A$179</f>
        <v>0.10169491525423729</v>
      </c>
      <c r="E20" s="8">
        <f t="shared" si="0"/>
        <v>2.1722033898305084</v>
      </c>
      <c r="F20" s="8">
        <f t="shared" si="2"/>
        <v>11302.460810847459</v>
      </c>
      <c r="G20" s="8">
        <f t="shared" si="1"/>
        <v>11.302460810847458</v>
      </c>
    </row>
    <row r="21" spans="1:7" x14ac:dyDescent="0.25">
      <c r="A21" s="1">
        <v>19000</v>
      </c>
      <c r="B21" s="2">
        <v>694</v>
      </c>
      <c r="C21" s="2">
        <f>Table145[[#This Row],[Elev_CEM1]]-B36</f>
        <v>247</v>
      </c>
      <c r="D21" s="8">
        <f>Table145[[#This Row],[distance]]/$A$179</f>
        <v>0.10734463276836158</v>
      </c>
      <c r="E21" s="8">
        <f t="shared" si="0"/>
        <v>2.2928813559322032</v>
      </c>
      <c r="F21" s="8">
        <f t="shared" si="2"/>
        <v>10764.104637966102</v>
      </c>
      <c r="G21" s="8">
        <f t="shared" si="1"/>
        <v>10.764104637966103</v>
      </c>
    </row>
    <row r="22" spans="1:7" x14ac:dyDescent="0.25">
      <c r="A22" s="1">
        <v>20000</v>
      </c>
      <c r="B22" s="2">
        <v>656</v>
      </c>
      <c r="C22" s="2">
        <f>Table145[[#This Row],[Elev_CEM1]]-B37</f>
        <v>204</v>
      </c>
      <c r="D22" s="8">
        <f>Table145[[#This Row],[distance]]/$A$179</f>
        <v>0.11299435028248588</v>
      </c>
      <c r="E22" s="8">
        <f t="shared" si="0"/>
        <v>2.4135593220338984</v>
      </c>
      <c r="F22" s="8">
        <f t="shared" si="2"/>
        <v>10928.127172881355</v>
      </c>
      <c r="G22" s="8">
        <f t="shared" si="1"/>
        <v>10.928127172881355</v>
      </c>
    </row>
    <row r="23" spans="1:7" x14ac:dyDescent="0.25">
      <c r="A23" s="1">
        <v>21000</v>
      </c>
      <c r="B23" s="2">
        <v>629</v>
      </c>
      <c r="C23" s="2">
        <f>Table145[[#This Row],[Elev_CEM1]]-B38</f>
        <v>195</v>
      </c>
      <c r="D23" s="8">
        <f>Table145[[#This Row],[distance]]/$A$179</f>
        <v>0.11864406779661017</v>
      </c>
      <c r="E23" s="8">
        <f t="shared" si="0"/>
        <v>2.5342372881355932</v>
      </c>
      <c r="F23" s="8">
        <f t="shared" si="2"/>
        <v>10650.395764067796</v>
      </c>
      <c r="G23" s="8">
        <f t="shared" si="1"/>
        <v>10.650395764067797</v>
      </c>
    </row>
    <row r="24" spans="1:7" x14ac:dyDescent="0.25">
      <c r="A24" s="1">
        <v>22000</v>
      </c>
      <c r="B24" s="2">
        <v>607</v>
      </c>
      <c r="C24" s="2">
        <f>Table145[[#This Row],[Elev_CEM1]]-B39</f>
        <v>187</v>
      </c>
      <c r="D24" s="8">
        <f>Table145[[#This Row],[distance]]/$A$179</f>
        <v>0.12429378531073447</v>
      </c>
      <c r="E24" s="8">
        <f t="shared" si="0"/>
        <v>2.654915254237288</v>
      </c>
      <c r="F24" s="8">
        <f t="shared" si="2"/>
        <v>9939.966870508475</v>
      </c>
      <c r="G24" s="8">
        <f t="shared" si="1"/>
        <v>9.9399668705084743</v>
      </c>
    </row>
    <row r="25" spans="1:7" x14ac:dyDescent="0.25">
      <c r="A25" s="1">
        <v>23000</v>
      </c>
      <c r="B25" s="2">
        <v>588</v>
      </c>
      <c r="C25" s="2">
        <f>Table145[[#This Row],[Elev_CEM1]]-B40</f>
        <v>176</v>
      </c>
      <c r="D25" s="8">
        <f>Table145[[#This Row],[distance]]/$A$179</f>
        <v>0.12994350282485875</v>
      </c>
      <c r="E25" s="8">
        <f t="shared" si="0"/>
        <v>2.7755932203389828</v>
      </c>
      <c r="F25" s="8">
        <f t="shared" si="2"/>
        <v>9466.0121837288134</v>
      </c>
      <c r="G25" s="8">
        <f t="shared" si="1"/>
        <v>9.4660121837288127</v>
      </c>
    </row>
    <row r="26" spans="1:7" x14ac:dyDescent="0.25">
      <c r="A26" s="1">
        <v>24000</v>
      </c>
      <c r="B26" s="2">
        <v>585</v>
      </c>
      <c r="C26" s="2">
        <f>Table145[[#This Row],[Elev_CEM1]]-B41</f>
        <v>192</v>
      </c>
      <c r="D26" s="8">
        <f>Table145[[#This Row],[distance]]/$A$179</f>
        <v>0.13559322033898305</v>
      </c>
      <c r="E26" s="8">
        <f t="shared" si="0"/>
        <v>2.896271186440678</v>
      </c>
      <c r="F26" s="8">
        <f t="shared" si="2"/>
        <v>8959.8567538983061</v>
      </c>
      <c r="G26" s="8">
        <f t="shared" si="1"/>
        <v>8.9598567538983058</v>
      </c>
    </row>
    <row r="27" spans="1:7" x14ac:dyDescent="0.25">
      <c r="A27" s="1">
        <v>25000</v>
      </c>
      <c r="B27" s="2">
        <v>580</v>
      </c>
      <c r="C27" s="2">
        <f>Table145[[#This Row],[Elev_CEM1]]-B42</f>
        <v>206</v>
      </c>
      <c r="D27" s="8">
        <f>Table145[[#This Row],[distance]]/$A$179</f>
        <v>0.14124293785310735</v>
      </c>
      <c r="E27" s="8">
        <f t="shared" si="0"/>
        <v>3.0169491525423728</v>
      </c>
      <c r="F27" s="8">
        <f t="shared" si="2"/>
        <v>8226.2835762711875</v>
      </c>
      <c r="G27" s="8">
        <f t="shared" si="1"/>
        <v>8.2262835762711877</v>
      </c>
    </row>
    <row r="28" spans="1:7" x14ac:dyDescent="0.25">
      <c r="A28" s="1">
        <v>26000</v>
      </c>
      <c r="B28" s="2">
        <v>559</v>
      </c>
      <c r="C28" s="2">
        <f>Table145[[#This Row],[Elev_CEM1]]-B43</f>
        <v>192</v>
      </c>
      <c r="D28" s="8">
        <f>Table145[[#This Row],[distance]]/$A$179</f>
        <v>0.14689265536723164</v>
      </c>
      <c r="E28" s="8">
        <f t="shared" si="0"/>
        <v>3.1376271186440681</v>
      </c>
      <c r="F28" s="8">
        <f t="shared" si="2"/>
        <v>8110.5621559322035</v>
      </c>
      <c r="G28" s="8">
        <f t="shared" si="1"/>
        <v>8.1105621559322039</v>
      </c>
    </row>
    <row r="29" spans="1:7" x14ac:dyDescent="0.25">
      <c r="A29" s="1">
        <v>27000</v>
      </c>
      <c r="B29" s="2">
        <v>548</v>
      </c>
      <c r="C29" s="2">
        <f>Table145[[#This Row],[Elev_CEM1]]-B44</f>
        <v>195</v>
      </c>
      <c r="D29" s="8">
        <f>Table145[[#This Row],[distance]]/$A$179</f>
        <v>0.15254237288135594</v>
      </c>
      <c r="E29" s="8">
        <f t="shared" si="0"/>
        <v>3.2583050847457629</v>
      </c>
      <c r="F29" s="8">
        <f t="shared" si="2"/>
        <v>8014.9662000000008</v>
      </c>
      <c r="G29" s="8">
        <f t="shared" si="1"/>
        <v>8.0149661999999999</v>
      </c>
    </row>
    <row r="30" spans="1:7" x14ac:dyDescent="0.25">
      <c r="A30" s="1">
        <v>28000</v>
      </c>
      <c r="B30" s="2">
        <v>529</v>
      </c>
      <c r="C30" s="2">
        <f>Table145[[#This Row],[Elev_CEM1]]-B45</f>
        <v>185</v>
      </c>
      <c r="D30" s="8">
        <f>Table145[[#This Row],[distance]]/$A$179</f>
        <v>0.15819209039548024</v>
      </c>
      <c r="E30" s="8">
        <f t="shared" si="0"/>
        <v>3.3789830508474576</v>
      </c>
      <c r="F30" s="8">
        <f t="shared" si="2"/>
        <v>8621.748951864407</v>
      </c>
      <c r="G30" s="8">
        <f t="shared" si="1"/>
        <v>8.6217489518644062</v>
      </c>
    </row>
    <row r="31" spans="1:7" x14ac:dyDescent="0.25">
      <c r="A31" s="1">
        <v>29000</v>
      </c>
      <c r="B31" s="2">
        <v>511</v>
      </c>
      <c r="C31" s="2">
        <f>Table145[[#This Row],[Elev_CEM1]]-B46</f>
        <v>184</v>
      </c>
      <c r="D31" s="8">
        <f>Table145[[#This Row],[distance]]/$A$179</f>
        <v>0.16384180790960451</v>
      </c>
      <c r="E31" s="8">
        <f t="shared" si="0"/>
        <v>3.4996610169491524</v>
      </c>
      <c r="F31" s="8">
        <f t="shared" si="2"/>
        <v>8754.5770169491534</v>
      </c>
      <c r="G31" s="8">
        <f t="shared" si="1"/>
        <v>8.7545770169491526</v>
      </c>
    </row>
    <row r="32" spans="1:7" x14ac:dyDescent="0.25">
      <c r="A32" s="1">
        <v>30000</v>
      </c>
      <c r="B32" s="2">
        <v>486</v>
      </c>
      <c r="C32" s="2">
        <f>Table145[[#This Row],[Elev_CEM1]]-B47</f>
        <v>167</v>
      </c>
      <c r="D32" s="8">
        <f>Table145[[#This Row],[distance]]/$A$179</f>
        <v>0.16949152542372881</v>
      </c>
      <c r="E32" s="8">
        <f t="shared" si="0"/>
        <v>3.6203389830508472</v>
      </c>
      <c r="F32" s="8">
        <f t="shared" si="2"/>
        <v>8482.8832474576266</v>
      </c>
      <c r="G32" s="8">
        <f t="shared" si="1"/>
        <v>8.482883247457627</v>
      </c>
    </row>
    <row r="33" spans="1:7" x14ac:dyDescent="0.25">
      <c r="A33" s="1">
        <v>31000</v>
      </c>
      <c r="B33" s="2">
        <v>473</v>
      </c>
      <c r="C33" s="2">
        <f>Table145[[#This Row],[Elev_CEM1]]-B48</f>
        <v>155</v>
      </c>
      <c r="D33" s="8">
        <f>Table145[[#This Row],[distance]]/$A$179</f>
        <v>0.1751412429378531</v>
      </c>
      <c r="E33" s="8">
        <f t="shared" si="0"/>
        <v>3.741016949152542</v>
      </c>
      <c r="F33" s="8">
        <f t="shared" si="2"/>
        <v>8547.2847335593215</v>
      </c>
      <c r="G33" s="8">
        <f t="shared" si="1"/>
        <v>8.5472847335593212</v>
      </c>
    </row>
    <row r="34" spans="1:7" x14ac:dyDescent="0.25">
      <c r="A34" s="1">
        <v>32000</v>
      </c>
      <c r="B34" s="2">
        <v>462</v>
      </c>
      <c r="C34" s="2">
        <f>Table145[[#This Row],[Elev_CEM1]]-B49</f>
        <v>157</v>
      </c>
      <c r="D34" s="8">
        <f>Table145[[#This Row],[distance]]/$A$179</f>
        <v>0.1807909604519774</v>
      </c>
      <c r="E34" s="8">
        <f t="shared" si="0"/>
        <v>3.8616949152542372</v>
      </c>
      <c r="F34" s="8">
        <f t="shared" si="2"/>
        <v>8661.9998806779658</v>
      </c>
      <c r="G34" s="8">
        <f t="shared" si="1"/>
        <v>8.6619998806779659</v>
      </c>
    </row>
    <row r="35" spans="1:7" x14ac:dyDescent="0.25">
      <c r="A35" s="1">
        <v>33000</v>
      </c>
      <c r="B35" s="2">
        <v>451</v>
      </c>
      <c r="C35" s="2">
        <f>Table145[[#This Row],[Elev_CEM1]]-B50</f>
        <v>155</v>
      </c>
      <c r="D35" s="8">
        <f>Table145[[#This Row],[distance]]/$A$179</f>
        <v>0.1864406779661017</v>
      </c>
      <c r="E35" s="8">
        <f t="shared" si="0"/>
        <v>3.982372881355932</v>
      </c>
      <c r="F35" s="8">
        <f t="shared" si="2"/>
        <v>8667.0312467796593</v>
      </c>
      <c r="G35" s="8">
        <f t="shared" si="1"/>
        <v>8.6670312467796595</v>
      </c>
    </row>
    <row r="36" spans="1:7" x14ac:dyDescent="0.25">
      <c r="A36" s="1">
        <v>34000</v>
      </c>
      <c r="B36" s="2">
        <v>447</v>
      </c>
      <c r="C36" s="2">
        <f>Table145[[#This Row],[Elev_CEM1]]-B51</f>
        <v>154</v>
      </c>
      <c r="D36" s="8">
        <f>Table145[[#This Row],[distance]]/$A$179</f>
        <v>0.19209039548022599</v>
      </c>
      <c r="E36" s="8">
        <f t="shared" si="0"/>
        <v>4.1030508474576273</v>
      </c>
      <c r="F36" s="8">
        <f t="shared" si="2"/>
        <v>8450.6825044067791</v>
      </c>
      <c r="G36" s="8">
        <f t="shared" si="1"/>
        <v>8.4506825044067799</v>
      </c>
    </row>
    <row r="37" spans="1:7" x14ac:dyDescent="0.25">
      <c r="A37" s="1">
        <v>35000</v>
      </c>
      <c r="B37" s="2">
        <v>452</v>
      </c>
      <c r="C37" s="2">
        <f>Table145[[#This Row],[Elev_CEM1]]-B52</f>
        <v>170</v>
      </c>
      <c r="D37" s="8">
        <f>Table145[[#This Row],[distance]]/$A$179</f>
        <v>0.19774011299435029</v>
      </c>
      <c r="E37" s="8">
        <f t="shared" si="0"/>
        <v>4.2237288135593225</v>
      </c>
      <c r="F37" s="8">
        <f t="shared" si="2"/>
        <v>7184.7907932203398</v>
      </c>
      <c r="G37" s="8">
        <f t="shared" si="1"/>
        <v>7.1847907932203396</v>
      </c>
    </row>
    <row r="38" spans="1:7" x14ac:dyDescent="0.25">
      <c r="A38" s="1">
        <v>36000</v>
      </c>
      <c r="B38" s="2">
        <v>434</v>
      </c>
      <c r="C38" s="2">
        <f>Table145[[#This Row],[Elev_CEM1]]-B53</f>
        <v>157</v>
      </c>
      <c r="D38" s="8">
        <f>Table145[[#This Row],[distance]]/$A$179</f>
        <v>0.20338983050847459</v>
      </c>
      <c r="E38" s="8">
        <f t="shared" si="0"/>
        <v>4.3444067796610168</v>
      </c>
      <c r="F38" s="8">
        <f t="shared" si="2"/>
        <v>7064.0380067796614</v>
      </c>
      <c r="G38" s="8">
        <f t="shared" si="1"/>
        <v>7.0640380067796613</v>
      </c>
    </row>
    <row r="39" spans="1:7" x14ac:dyDescent="0.25">
      <c r="A39" s="1">
        <v>37000</v>
      </c>
      <c r="B39" s="2">
        <v>420</v>
      </c>
      <c r="C39" s="2">
        <f>Table145[[#This Row],[Elev_CEM1]]-B54</f>
        <v>148</v>
      </c>
      <c r="D39" s="8">
        <f>Table145[[#This Row],[distance]]/$A$179</f>
        <v>0.20903954802259886</v>
      </c>
      <c r="E39" s="8">
        <f t="shared" si="0"/>
        <v>4.4650847457627112</v>
      </c>
      <c r="F39" s="8">
        <f t="shared" si="2"/>
        <v>6962.4044115254237</v>
      </c>
      <c r="G39" s="8">
        <f t="shared" si="1"/>
        <v>6.9624044115254238</v>
      </c>
    </row>
    <row r="40" spans="1:7" x14ac:dyDescent="0.25">
      <c r="A40" s="1">
        <v>38000</v>
      </c>
      <c r="B40" s="2">
        <v>412</v>
      </c>
      <c r="C40" s="2">
        <f>Table145[[#This Row],[Elev_CEM1]]-B55</f>
        <v>149</v>
      </c>
      <c r="D40" s="8">
        <f>Table145[[#This Row],[distance]]/$A$179</f>
        <v>0.21468926553672316</v>
      </c>
      <c r="E40" s="8">
        <f t="shared" si="0"/>
        <v>4.5857627118644064</v>
      </c>
      <c r="F40" s="8">
        <f t="shared" si="2"/>
        <v>6729.9552976271189</v>
      </c>
      <c r="G40" s="8">
        <f t="shared" si="1"/>
        <v>6.7299552976271189</v>
      </c>
    </row>
    <row r="41" spans="1:7" x14ac:dyDescent="0.25">
      <c r="A41" s="1">
        <v>39000</v>
      </c>
      <c r="B41" s="2">
        <v>393</v>
      </c>
      <c r="C41" s="2">
        <f>Table145[[#This Row],[Elev_CEM1]]-B56</f>
        <v>133</v>
      </c>
      <c r="D41" s="8">
        <f>Table145[[#This Row],[distance]]/$A$179</f>
        <v>0.22033898305084745</v>
      </c>
      <c r="E41" s="8">
        <f t="shared" si="0"/>
        <v>4.7064406779661017</v>
      </c>
      <c r="F41" s="8">
        <f t="shared" si="2"/>
        <v>7534.9738738983051</v>
      </c>
      <c r="G41" s="8">
        <f t="shared" si="1"/>
        <v>7.5349738738983048</v>
      </c>
    </row>
    <row r="42" spans="1:7" x14ac:dyDescent="0.25">
      <c r="A42" s="1">
        <v>40000</v>
      </c>
      <c r="B42" s="2">
        <v>374</v>
      </c>
      <c r="C42" s="2">
        <f>Table145[[#This Row],[Elev_CEM1]]-B57</f>
        <v>123</v>
      </c>
      <c r="D42" s="8">
        <f>Table145[[#This Row],[distance]]/$A$179</f>
        <v>0.22598870056497175</v>
      </c>
      <c r="E42" s="8">
        <f t="shared" si="0"/>
        <v>4.8271186440677969</v>
      </c>
      <c r="F42" s="8">
        <f t="shared" si="2"/>
        <v>8291.6913355932193</v>
      </c>
      <c r="G42" s="8">
        <f t="shared" si="1"/>
        <v>8.2916913355932191</v>
      </c>
    </row>
    <row r="43" spans="1:7" x14ac:dyDescent="0.25">
      <c r="A43" s="1">
        <v>41000</v>
      </c>
      <c r="B43" s="2">
        <v>367</v>
      </c>
      <c r="C43" s="2">
        <f>Table145[[#This Row],[Elev_CEM1]]-B58</f>
        <v>115</v>
      </c>
      <c r="D43" s="8">
        <f>Table145[[#This Row],[distance]]/$A$179</f>
        <v>0.23163841807909605</v>
      </c>
      <c r="E43" s="8">
        <f t="shared" si="0"/>
        <v>4.9477966101694912</v>
      </c>
      <c r="F43" s="8">
        <f t="shared" si="2"/>
        <v>7921.3827905084745</v>
      </c>
      <c r="G43" s="8">
        <f t="shared" si="1"/>
        <v>7.9213827905084742</v>
      </c>
    </row>
    <row r="44" spans="1:7" x14ac:dyDescent="0.25">
      <c r="A44" s="1">
        <v>42000</v>
      </c>
      <c r="B44" s="2">
        <v>353</v>
      </c>
      <c r="C44" s="2">
        <f>Table145[[#This Row],[Elev_CEM1]]-B59</f>
        <v>100</v>
      </c>
      <c r="D44" s="8">
        <f>Table145[[#This Row],[distance]]/$A$179</f>
        <v>0.23728813559322035</v>
      </c>
      <c r="E44" s="8">
        <f t="shared" si="0"/>
        <v>5.0684745762711865</v>
      </c>
      <c r="F44" s="8">
        <f t="shared" si="2"/>
        <v>8241.3776745762716</v>
      </c>
      <c r="G44" s="8">
        <f t="shared" si="1"/>
        <v>8.2413776745762721</v>
      </c>
    </row>
    <row r="45" spans="1:7" x14ac:dyDescent="0.25">
      <c r="A45" s="1">
        <v>43000</v>
      </c>
      <c r="B45" s="2">
        <v>344</v>
      </c>
      <c r="C45" s="2">
        <f>Table145[[#This Row],[Elev_CEM1]]-B60</f>
        <v>102</v>
      </c>
      <c r="D45" s="8">
        <f>Table145[[#This Row],[distance]]/$A$179</f>
        <v>0.24293785310734464</v>
      </c>
      <c r="E45" s="8">
        <f t="shared" si="0"/>
        <v>5.1891525423728817</v>
      </c>
      <c r="F45" s="8">
        <f t="shared" si="2"/>
        <v>8004.903467796611</v>
      </c>
      <c r="G45" s="8">
        <f t="shared" si="1"/>
        <v>8.0049034677966109</v>
      </c>
    </row>
    <row r="46" spans="1:7" x14ac:dyDescent="0.25">
      <c r="A46" s="1">
        <v>44000</v>
      </c>
      <c r="B46" s="2">
        <v>327</v>
      </c>
      <c r="C46" s="2">
        <f>Table145[[#This Row],[Elev_CEM1]]-B61</f>
        <v>91</v>
      </c>
      <c r="D46" s="8">
        <f>Table145[[#This Row],[distance]]/$A$179</f>
        <v>0.24858757062146894</v>
      </c>
      <c r="E46" s="8">
        <f t="shared" si="0"/>
        <v>5.309830508474576</v>
      </c>
      <c r="F46" s="8">
        <f t="shared" si="2"/>
        <v>8146.7879918644076</v>
      </c>
      <c r="G46" s="8">
        <f t="shared" si="1"/>
        <v>8.1467879918644073</v>
      </c>
    </row>
    <row r="47" spans="1:7" x14ac:dyDescent="0.25">
      <c r="A47" s="1">
        <v>45000</v>
      </c>
      <c r="B47" s="2">
        <v>319</v>
      </c>
      <c r="C47" s="2">
        <f>Table145[[#This Row],[Elev_CEM1]]-B62</f>
        <v>91</v>
      </c>
      <c r="D47" s="8">
        <f>Table145[[#This Row],[distance]]/$A$179</f>
        <v>0.25423728813559321</v>
      </c>
      <c r="E47" s="8">
        <f t="shared" si="0"/>
        <v>5.4305084745762704</v>
      </c>
      <c r="F47" s="8">
        <f t="shared" si="2"/>
        <v>7562.1432508474581</v>
      </c>
      <c r="G47" s="8">
        <f t="shared" si="1"/>
        <v>7.5621432508474582</v>
      </c>
    </row>
    <row r="48" spans="1:7" x14ac:dyDescent="0.25">
      <c r="A48" s="1">
        <v>46000</v>
      </c>
      <c r="B48" s="2">
        <v>318</v>
      </c>
      <c r="C48" s="2">
        <f>Table145[[#This Row],[Elev_CEM1]]-B63</f>
        <v>91</v>
      </c>
      <c r="D48" s="8">
        <f>Table145[[#This Row],[distance]]/$A$179</f>
        <v>0.25988700564971751</v>
      </c>
      <c r="E48" s="8">
        <f t="shared" si="0"/>
        <v>5.5511864406779656</v>
      </c>
      <c r="F48" s="8">
        <f t="shared" si="2"/>
        <v>7174.7280610169482</v>
      </c>
      <c r="G48" s="8">
        <f t="shared" si="1"/>
        <v>7.1747280610169479</v>
      </c>
    </row>
    <row r="49" spans="1:7" x14ac:dyDescent="0.25">
      <c r="A49" s="1">
        <v>47000</v>
      </c>
      <c r="B49" s="2">
        <v>305</v>
      </c>
      <c r="C49" s="2">
        <f>Table145[[#This Row],[Elev_CEM1]]-B64</f>
        <v>81</v>
      </c>
      <c r="D49" s="8">
        <f>Table145[[#This Row],[distance]]/$A$179</f>
        <v>0.2655367231638418</v>
      </c>
      <c r="E49" s="8">
        <f t="shared" si="0"/>
        <v>5.6718644067796609</v>
      </c>
      <c r="F49" s="8">
        <f t="shared" si="2"/>
        <v>7425.290092881356</v>
      </c>
      <c r="G49" s="8">
        <f t="shared" si="1"/>
        <v>7.4252900928813563</v>
      </c>
    </row>
    <row r="50" spans="1:7" x14ac:dyDescent="0.25">
      <c r="A50" s="1">
        <v>48000</v>
      </c>
      <c r="B50" s="2">
        <v>296</v>
      </c>
      <c r="C50" s="2">
        <f>Table145[[#This Row],[Elev_CEM1]]-B65</f>
        <v>80</v>
      </c>
      <c r="D50" s="8">
        <f>Table145[[#This Row],[distance]]/$A$179</f>
        <v>0.2711864406779661</v>
      </c>
      <c r="E50" s="8">
        <f t="shared" si="0"/>
        <v>5.7925423728813561</v>
      </c>
      <c r="F50" s="8">
        <f t="shared" si="2"/>
        <v>7486.6727593220339</v>
      </c>
      <c r="G50" s="8">
        <f t="shared" si="1"/>
        <v>7.4866727593220341</v>
      </c>
    </row>
    <row r="51" spans="1:7" x14ac:dyDescent="0.25">
      <c r="A51" s="1">
        <v>49000</v>
      </c>
      <c r="B51" s="2">
        <v>293</v>
      </c>
      <c r="C51" s="2">
        <f>Table145[[#This Row],[Elev_CEM1]]-B66</f>
        <v>82</v>
      </c>
      <c r="D51" s="8">
        <f>Table145[[#This Row],[distance]]/$A$179</f>
        <v>0.2768361581920904</v>
      </c>
      <c r="E51" s="8">
        <f t="shared" si="0"/>
        <v>5.9132203389830504</v>
      </c>
      <c r="F51" s="8">
        <f t="shared" si="2"/>
        <v>7593.3377206779651</v>
      </c>
      <c r="G51" s="8">
        <f t="shared" si="1"/>
        <v>7.5933377206779653</v>
      </c>
    </row>
    <row r="52" spans="1:7" x14ac:dyDescent="0.25">
      <c r="A52" s="1">
        <v>50000</v>
      </c>
      <c r="B52" s="2">
        <v>282</v>
      </c>
      <c r="C52" s="2">
        <f>Table145[[#This Row],[Elev_CEM1]]-B67</f>
        <v>75</v>
      </c>
      <c r="D52" s="8">
        <f>Table145[[#This Row],[distance]]/$A$179</f>
        <v>0.2824858757062147</v>
      </c>
      <c r="E52" s="8">
        <f t="shared" si="0"/>
        <v>6.0338983050847457</v>
      </c>
      <c r="F52" s="8">
        <f t="shared" si="2"/>
        <v>8553.3223728813555</v>
      </c>
      <c r="G52" s="8">
        <f t="shared" si="1"/>
        <v>8.5533223728813557</v>
      </c>
    </row>
    <row r="53" spans="1:7" x14ac:dyDescent="0.25">
      <c r="A53" s="1">
        <v>51000</v>
      </c>
      <c r="B53" s="2">
        <v>277</v>
      </c>
      <c r="C53" s="2">
        <f>Table145[[#This Row],[Elev_CEM1]]-B68</f>
        <v>73</v>
      </c>
      <c r="D53" s="8">
        <f>Table145[[#This Row],[distance]]/$A$179</f>
        <v>0.28813559322033899</v>
      </c>
      <c r="E53" s="8">
        <f t="shared" si="0"/>
        <v>6.1545762711864409</v>
      </c>
      <c r="F53" s="8">
        <f t="shared" si="2"/>
        <v>8057.2296752542379</v>
      </c>
      <c r="G53" s="8">
        <f t="shared" si="1"/>
        <v>8.0572296752542378</v>
      </c>
    </row>
    <row r="54" spans="1:7" x14ac:dyDescent="0.25">
      <c r="A54" s="1">
        <v>52000</v>
      </c>
      <c r="B54" s="2">
        <v>272</v>
      </c>
      <c r="C54" s="2">
        <f>Table145[[#This Row],[Elev_CEM1]]-B69</f>
        <v>71</v>
      </c>
      <c r="D54" s="8">
        <f>Table145[[#This Row],[distance]]/$A$179</f>
        <v>0.29378531073446329</v>
      </c>
      <c r="E54" s="8">
        <f t="shared" si="0"/>
        <v>6.2752542372881361</v>
      </c>
      <c r="F54" s="8">
        <f t="shared" si="2"/>
        <v>7744.2787037288144</v>
      </c>
      <c r="G54" s="8">
        <f t="shared" si="1"/>
        <v>7.7442787037288143</v>
      </c>
    </row>
    <row r="55" spans="1:7" x14ac:dyDescent="0.25">
      <c r="A55" s="1">
        <v>53000</v>
      </c>
      <c r="B55" s="2">
        <v>263</v>
      </c>
      <c r="C55" s="2">
        <f>Table145[[#This Row],[Elev_CEM1]]-B70</f>
        <v>70</v>
      </c>
      <c r="D55" s="8">
        <f>Table145[[#This Row],[distance]]/$A$179</f>
        <v>0.29943502824858759</v>
      </c>
      <c r="E55" s="8">
        <f t="shared" si="0"/>
        <v>6.3959322033898305</v>
      </c>
      <c r="F55" s="8">
        <f t="shared" si="2"/>
        <v>7946.5396210169492</v>
      </c>
      <c r="G55" s="8">
        <f t="shared" si="1"/>
        <v>7.9465396210169494</v>
      </c>
    </row>
    <row r="56" spans="1:7" x14ac:dyDescent="0.25">
      <c r="A56" s="1">
        <v>54000</v>
      </c>
      <c r="B56" s="2">
        <v>260</v>
      </c>
      <c r="C56" s="2">
        <f>Table145[[#This Row],[Elev_CEM1]]-B71</f>
        <v>66</v>
      </c>
      <c r="D56" s="8">
        <f>Table145[[#This Row],[distance]]/$A$179</f>
        <v>0.30508474576271188</v>
      </c>
      <c r="E56" s="8">
        <f t="shared" si="0"/>
        <v>6.5166101694915257</v>
      </c>
      <c r="F56" s="8">
        <f t="shared" si="2"/>
        <v>7227.0542684745769</v>
      </c>
      <c r="G56" s="8">
        <f t="shared" si="1"/>
        <v>7.2270542684745767</v>
      </c>
    </row>
    <row r="57" spans="1:7" x14ac:dyDescent="0.25">
      <c r="A57" s="1">
        <v>55000</v>
      </c>
      <c r="B57" s="2">
        <v>251</v>
      </c>
      <c r="C57" s="2">
        <f>Table145[[#This Row],[Elev_CEM1]]-B72</f>
        <v>60</v>
      </c>
      <c r="D57" s="8">
        <f>Table145[[#This Row],[distance]]/$A$179</f>
        <v>0.31073446327683618</v>
      </c>
      <c r="E57" s="8">
        <f t="shared" si="0"/>
        <v>6.637288135593221</v>
      </c>
      <c r="F57" s="8">
        <f t="shared" si="2"/>
        <v>6807.4383355932214</v>
      </c>
      <c r="G57" s="8">
        <f t="shared" si="1"/>
        <v>6.8074383355932211</v>
      </c>
    </row>
    <row r="58" spans="1:7" x14ac:dyDescent="0.25">
      <c r="A58" s="1">
        <v>56000</v>
      </c>
      <c r="B58" s="2">
        <v>252</v>
      </c>
      <c r="C58" s="2">
        <f>Table145[[#This Row],[Elev_CEM1]]-B73</f>
        <v>70</v>
      </c>
      <c r="D58" s="8">
        <f>Table145[[#This Row],[distance]]/$A$179</f>
        <v>0.31638418079096048</v>
      </c>
      <c r="E58" s="8">
        <f t="shared" si="0"/>
        <v>6.7579661016949153</v>
      </c>
      <c r="F58" s="8">
        <f t="shared" si="2"/>
        <v>6480.3995389830507</v>
      </c>
      <c r="G58" s="8">
        <f t="shared" si="1"/>
        <v>6.4803995389830504</v>
      </c>
    </row>
    <row r="59" spans="1:7" x14ac:dyDescent="0.25">
      <c r="A59" s="1">
        <v>57000</v>
      </c>
      <c r="B59" s="2">
        <v>253</v>
      </c>
      <c r="C59" s="2">
        <f>Table145[[#This Row],[Elev_CEM1]]-B74</f>
        <v>70</v>
      </c>
      <c r="D59" s="8">
        <f>Table145[[#This Row],[distance]]/$A$179</f>
        <v>0.32203389830508472</v>
      </c>
      <c r="E59" s="8">
        <f t="shared" si="0"/>
        <v>6.8786440677966096</v>
      </c>
      <c r="F59" s="8">
        <f t="shared" si="2"/>
        <v>5735.7573559322036</v>
      </c>
      <c r="G59" s="8">
        <f t="shared" si="1"/>
        <v>5.7357573559322033</v>
      </c>
    </row>
    <row r="60" spans="1:7" x14ac:dyDescent="0.25">
      <c r="A60" s="1">
        <v>58000</v>
      </c>
      <c r="B60" s="2">
        <v>242</v>
      </c>
      <c r="C60" s="2">
        <f>Table145[[#This Row],[Elev_CEM1]]-B75</f>
        <v>64</v>
      </c>
      <c r="D60" s="8">
        <f>Table145[[#This Row],[distance]]/$A$179</f>
        <v>0.32768361581920902</v>
      </c>
      <c r="E60" s="8">
        <f t="shared" si="0"/>
        <v>6.9993220338983049</v>
      </c>
      <c r="F60" s="8">
        <f t="shared" si="2"/>
        <v>5953.1123715254234</v>
      </c>
      <c r="G60" s="8">
        <f t="shared" si="1"/>
        <v>5.9531123715254237</v>
      </c>
    </row>
    <row r="61" spans="1:7" x14ac:dyDescent="0.25">
      <c r="A61" s="1">
        <v>59000</v>
      </c>
      <c r="B61" s="2">
        <v>236</v>
      </c>
      <c r="C61" s="2">
        <f>Table145[[#This Row],[Elev_CEM1]]-B76</f>
        <v>59</v>
      </c>
      <c r="D61" s="8">
        <f>Table145[[#This Row],[distance]]/$A$179</f>
        <v>0.33333333333333331</v>
      </c>
      <c r="E61" s="8">
        <f t="shared" si="0"/>
        <v>7.1199999999999992</v>
      </c>
      <c r="F61" s="8">
        <f t="shared" si="2"/>
        <v>5402.6809199999989</v>
      </c>
      <c r="G61" s="8">
        <f t="shared" si="1"/>
        <v>5.402680919999999</v>
      </c>
    </row>
    <row r="62" spans="1:7" x14ac:dyDescent="0.25">
      <c r="A62" s="1">
        <v>60000</v>
      </c>
      <c r="B62" s="2">
        <v>228</v>
      </c>
      <c r="C62" s="2">
        <f>Table145[[#This Row],[Elev_CEM1]]-B77</f>
        <v>56</v>
      </c>
      <c r="D62" s="8">
        <f>Table145[[#This Row],[distance]]/$A$179</f>
        <v>0.33898305084745761</v>
      </c>
      <c r="E62" s="8">
        <f t="shared" si="0"/>
        <v>7.2406779661016945</v>
      </c>
      <c r="F62" s="8">
        <f t="shared" si="2"/>
        <v>5494.2517830508477</v>
      </c>
      <c r="G62" s="8">
        <f t="shared" si="1"/>
        <v>5.4942517830508475</v>
      </c>
    </row>
    <row r="63" spans="1:7" x14ac:dyDescent="0.25">
      <c r="A63" s="1">
        <v>61000</v>
      </c>
      <c r="B63" s="2">
        <v>227</v>
      </c>
      <c r="C63" s="2">
        <f>Table145[[#This Row],[Elev_CEM1]]-B78</f>
        <v>56</v>
      </c>
      <c r="D63" s="8">
        <f>Table145[[#This Row],[distance]]/$A$179</f>
        <v>0.34463276836158191</v>
      </c>
      <c r="E63" s="8">
        <f t="shared" si="0"/>
        <v>7.3613559322033897</v>
      </c>
      <c r="F63" s="8">
        <f t="shared" si="2"/>
        <v>5585.8226461016957</v>
      </c>
      <c r="G63" s="8">
        <f t="shared" si="1"/>
        <v>5.585822646101696</v>
      </c>
    </row>
    <row r="64" spans="1:7" x14ac:dyDescent="0.25">
      <c r="A64" s="1">
        <v>62000</v>
      </c>
      <c r="B64" s="2">
        <v>224</v>
      </c>
      <c r="C64" s="2">
        <f>Table145[[#This Row],[Elev_CEM1]]-B79</f>
        <v>60</v>
      </c>
      <c r="D64" s="8">
        <f>Table145[[#This Row],[distance]]/$A$179</f>
        <v>0.35028248587570621</v>
      </c>
      <c r="E64" s="8">
        <f t="shared" si="0"/>
        <v>7.482033898305084</v>
      </c>
      <c r="F64" s="8">
        <f t="shared" si="2"/>
        <v>5053.5041125423732</v>
      </c>
      <c r="G64" s="8">
        <f t="shared" si="1"/>
        <v>5.053504112542373</v>
      </c>
    </row>
    <row r="65" spans="1:7" x14ac:dyDescent="0.25">
      <c r="A65" s="1">
        <v>63000</v>
      </c>
      <c r="B65" s="2">
        <v>216</v>
      </c>
      <c r="C65" s="2">
        <f>Table145[[#This Row],[Elev_CEM1]]-B80</f>
        <v>51</v>
      </c>
      <c r="D65" s="8">
        <f>Table145[[#This Row],[distance]]/$A$179</f>
        <v>0.3559322033898305</v>
      </c>
      <c r="E65" s="8">
        <f t="shared" si="0"/>
        <v>7.6027118644067793</v>
      </c>
      <c r="F65" s="8">
        <f t="shared" si="2"/>
        <v>5071.6170305084743</v>
      </c>
      <c r="G65" s="8">
        <f t="shared" si="1"/>
        <v>5.0716170305084747</v>
      </c>
    </row>
    <row r="66" spans="1:7" x14ac:dyDescent="0.25">
      <c r="A66" s="1">
        <v>64000</v>
      </c>
      <c r="B66" s="2">
        <v>211</v>
      </c>
      <c r="C66" s="2">
        <f>Table145[[#This Row],[Elev_CEM1]]-B81</f>
        <v>48</v>
      </c>
      <c r="D66" s="8">
        <f>Table145[[#This Row],[distance]]/$A$179</f>
        <v>0.3615819209039548</v>
      </c>
      <c r="E66" s="8">
        <f t="shared" ref="E66:E129" si="3">21.36*D66</f>
        <v>7.7233898305084745</v>
      </c>
      <c r="F66" s="8">
        <f t="shared" si="2"/>
        <v>5280.9218603389836</v>
      </c>
      <c r="G66" s="8">
        <f t="shared" si="1"/>
        <v>5.2809218603389834</v>
      </c>
    </row>
    <row r="67" spans="1:7" x14ac:dyDescent="0.25">
      <c r="A67" s="1">
        <v>65000</v>
      </c>
      <c r="B67" s="2">
        <v>207</v>
      </c>
      <c r="C67" s="2">
        <f>Table145[[#This Row],[Elev_CEM1]]-B82</f>
        <v>54</v>
      </c>
      <c r="D67" s="8">
        <f>Table145[[#This Row],[distance]]/$A$179</f>
        <v>0.3672316384180791</v>
      </c>
      <c r="E67" s="8">
        <f t="shared" si="3"/>
        <v>7.8440677966101697</v>
      </c>
      <c r="F67" s="8">
        <f t="shared" si="2"/>
        <v>4905.5819491525435</v>
      </c>
      <c r="G67" s="8">
        <f t="shared" si="1"/>
        <v>4.9055819491525439</v>
      </c>
    </row>
    <row r="68" spans="1:7" x14ac:dyDescent="0.25">
      <c r="A68" s="1">
        <v>66000</v>
      </c>
      <c r="B68" s="2">
        <v>204</v>
      </c>
      <c r="C68" s="2">
        <f>Table145[[#This Row],[Elev_CEM1]]-B83</f>
        <v>46</v>
      </c>
      <c r="D68" s="8">
        <f>Table145[[#This Row],[distance]]/$A$179</f>
        <v>0.3728813559322034</v>
      </c>
      <c r="E68" s="8">
        <f t="shared" si="3"/>
        <v>7.9647457627118641</v>
      </c>
      <c r="F68" s="8">
        <f t="shared" si="2"/>
        <v>4848.2243755932204</v>
      </c>
      <c r="G68" s="8">
        <f t="shared" si="1"/>
        <v>4.8482243755932206</v>
      </c>
    </row>
    <row r="69" spans="1:7" x14ac:dyDescent="0.25">
      <c r="A69" s="1">
        <v>67000</v>
      </c>
      <c r="B69" s="2">
        <v>201</v>
      </c>
      <c r="C69" s="2">
        <f>Table145[[#This Row],[Elev_CEM1]]-B84</f>
        <v>41</v>
      </c>
      <c r="D69" s="8">
        <f>Table145[[#This Row],[distance]]/$A$179</f>
        <v>0.37853107344632769</v>
      </c>
      <c r="E69" s="8">
        <f t="shared" si="3"/>
        <v>8.0854237288135593</v>
      </c>
      <c r="F69" s="8">
        <f t="shared" si="2"/>
        <v>4786.8417091525425</v>
      </c>
      <c r="G69" s="8">
        <f t="shared" si="1"/>
        <v>4.7868417091525428</v>
      </c>
    </row>
    <row r="70" spans="1:7" x14ac:dyDescent="0.25">
      <c r="A70" s="1">
        <v>68000</v>
      </c>
      <c r="B70" s="2">
        <v>193</v>
      </c>
      <c r="C70" s="2">
        <f>Table145[[#This Row],[Elev_CEM1]]-B85</f>
        <v>44</v>
      </c>
      <c r="D70" s="8">
        <f>Table145[[#This Row],[distance]]/$A$179</f>
        <v>0.38418079096045199</v>
      </c>
      <c r="E70" s="8">
        <f t="shared" si="3"/>
        <v>8.2061016949152545</v>
      </c>
      <c r="F70" s="8">
        <f t="shared" si="2"/>
        <v>4789.8605288135595</v>
      </c>
      <c r="G70" s="8">
        <f t="shared" si="1"/>
        <v>4.7898605288135592</v>
      </c>
    </row>
    <row r="71" spans="1:7" x14ac:dyDescent="0.25">
      <c r="A71" s="1">
        <v>69000</v>
      </c>
      <c r="B71" s="2">
        <v>194</v>
      </c>
      <c r="C71" s="2">
        <f>Table145[[#This Row],[Elev_CEM1]]-B86</f>
        <v>38</v>
      </c>
      <c r="D71" s="8">
        <f>Table145[[#This Row],[distance]]/$A$179</f>
        <v>0.38983050847457629</v>
      </c>
      <c r="E71" s="8">
        <f t="shared" si="3"/>
        <v>8.3267796610169498</v>
      </c>
      <c r="F71" s="8">
        <f t="shared" si="2"/>
        <v>4582.5682454237285</v>
      </c>
      <c r="G71" s="8">
        <f t="shared" si="1"/>
        <v>4.5825682454237286</v>
      </c>
    </row>
    <row r="72" spans="1:7" x14ac:dyDescent="0.25">
      <c r="A72" s="1">
        <v>70000</v>
      </c>
      <c r="B72" s="2">
        <v>191</v>
      </c>
      <c r="C72" s="2">
        <f>Table145[[#This Row],[Elev_CEM1]]-B87</f>
        <v>43</v>
      </c>
      <c r="D72" s="8">
        <f>Table145[[#This Row],[distance]]/$A$179</f>
        <v>0.39548022598870058</v>
      </c>
      <c r="E72" s="8">
        <f t="shared" si="3"/>
        <v>8.447457627118645</v>
      </c>
      <c r="F72" s="8">
        <f t="shared" si="2"/>
        <v>4226.3475254237301</v>
      </c>
      <c r="G72" s="8">
        <f t="shared" si="1"/>
        <v>4.2263475254237299</v>
      </c>
    </row>
    <row r="73" spans="1:7" x14ac:dyDescent="0.25">
      <c r="A73" s="1">
        <v>71000</v>
      </c>
      <c r="B73" s="2">
        <v>182</v>
      </c>
      <c r="C73" s="2">
        <f>Table145[[#This Row],[Elev_CEM1]]-B88</f>
        <v>35</v>
      </c>
      <c r="D73" s="8">
        <f>Table145[[#This Row],[distance]]/$A$179</f>
        <v>0.40112994350282488</v>
      </c>
      <c r="E73" s="8">
        <f t="shared" si="3"/>
        <v>8.5681355932203385</v>
      </c>
      <c r="F73" s="8">
        <f t="shared" si="2"/>
        <v>5001.1779050847463</v>
      </c>
      <c r="G73" s="8">
        <f t="shared" si="1"/>
        <v>5.001177905084746</v>
      </c>
    </row>
    <row r="74" spans="1:7" x14ac:dyDescent="0.25">
      <c r="A74" s="1">
        <v>72000</v>
      </c>
      <c r="B74" s="2">
        <v>183</v>
      </c>
      <c r="C74" s="2">
        <f>Table145[[#This Row],[Elev_CEM1]]-B89</f>
        <v>40</v>
      </c>
      <c r="D74" s="8">
        <f>Table145[[#This Row],[distance]]/$A$179</f>
        <v>0.40677966101694918</v>
      </c>
      <c r="E74" s="8">
        <f t="shared" si="3"/>
        <v>8.6888135593220337</v>
      </c>
      <c r="F74" s="8">
        <f t="shared" si="2"/>
        <v>5071.6170305084743</v>
      </c>
      <c r="G74" s="8">
        <f t="shared" si="1"/>
        <v>5.0716170305084747</v>
      </c>
    </row>
    <row r="75" spans="1:7" x14ac:dyDescent="0.25">
      <c r="A75" s="1">
        <v>73000</v>
      </c>
      <c r="B75" s="2">
        <v>178</v>
      </c>
      <c r="C75" s="2">
        <f>Table145[[#This Row],[Elev_CEM1]]-B90</f>
        <v>37</v>
      </c>
      <c r="D75" s="8">
        <f>Table145[[#This Row],[distance]]/$A$179</f>
        <v>0.41242937853107342</v>
      </c>
      <c r="E75" s="8">
        <f t="shared" si="3"/>
        <v>8.8094915254237272</v>
      </c>
      <c r="F75" s="8">
        <f t="shared" si="2"/>
        <v>4701.3084854237286</v>
      </c>
      <c r="G75" s="8">
        <f t="shared" si="1"/>
        <v>4.7013084854237288</v>
      </c>
    </row>
    <row r="76" spans="1:7" x14ac:dyDescent="0.25">
      <c r="A76" s="1">
        <v>74000</v>
      </c>
      <c r="B76" s="2">
        <v>177</v>
      </c>
      <c r="C76" s="2">
        <f>Table145[[#This Row],[Elev_CEM1]]-B91</f>
        <v>39</v>
      </c>
      <c r="D76" s="8">
        <f>Table145[[#This Row],[distance]]/$A$179</f>
        <v>0.41807909604519772</v>
      </c>
      <c r="E76" s="8">
        <f t="shared" si="3"/>
        <v>8.9301694915254224</v>
      </c>
      <c r="F76" s="8">
        <f t="shared" si="2"/>
        <v>4393.3888799999995</v>
      </c>
      <c r="G76" s="8">
        <f t="shared" si="1"/>
        <v>4.3933888799999998</v>
      </c>
    </row>
    <row r="77" spans="1:7" x14ac:dyDescent="0.25">
      <c r="A77" s="1">
        <v>75000</v>
      </c>
      <c r="B77" s="2">
        <v>172</v>
      </c>
      <c r="C77" s="2">
        <f>Table145[[#This Row],[Elev_CEM1]]-B92</f>
        <v>28</v>
      </c>
      <c r="D77" s="8">
        <f>Table145[[#This Row],[distance]]/$A$179</f>
        <v>0.42372881355932202</v>
      </c>
      <c r="E77" s="8">
        <f t="shared" si="3"/>
        <v>9.0508474576271176</v>
      </c>
      <c r="F77" s="8">
        <f t="shared" si="2"/>
        <v>4226.3475254237292</v>
      </c>
      <c r="G77" s="8">
        <f t="shared" ref="G77:G140" si="4">F77/1000</f>
        <v>4.226347525423729</v>
      </c>
    </row>
    <row r="78" spans="1:7" x14ac:dyDescent="0.25">
      <c r="A78" s="1">
        <v>76000</v>
      </c>
      <c r="B78" s="2">
        <v>171</v>
      </c>
      <c r="C78" s="2">
        <f>Table145[[#This Row],[Elev_CEM1]]-B93</f>
        <v>41</v>
      </c>
      <c r="D78" s="8">
        <f>Table145[[#This Row],[distance]]/$A$179</f>
        <v>0.42937853107344631</v>
      </c>
      <c r="E78" s="8">
        <f t="shared" si="3"/>
        <v>9.1715254237288129</v>
      </c>
      <c r="F78" s="8">
        <f t="shared" si="2"/>
        <v>4282.6988257627117</v>
      </c>
      <c r="G78" s="8">
        <f t="shared" si="4"/>
        <v>4.2826988257627114</v>
      </c>
    </row>
    <row r="79" spans="1:7" x14ac:dyDescent="0.25">
      <c r="A79" s="1">
        <v>77000</v>
      </c>
      <c r="B79" s="2">
        <v>164</v>
      </c>
      <c r="C79" s="2">
        <f>Table145[[#This Row],[Elev_CEM1]]-B94</f>
        <v>28</v>
      </c>
      <c r="D79" s="8">
        <f>Table145[[#This Row],[distance]]/$A$179</f>
        <v>0.43502824858757061</v>
      </c>
      <c r="E79" s="8">
        <f t="shared" si="3"/>
        <v>9.2922033898305081</v>
      </c>
      <c r="F79" s="8">
        <f t="shared" si="2"/>
        <v>4648.9822779661017</v>
      </c>
      <c r="G79" s="8">
        <f t="shared" si="4"/>
        <v>4.6489822779661019</v>
      </c>
    </row>
    <row r="80" spans="1:7" x14ac:dyDescent="0.25">
      <c r="A80" s="1">
        <v>78000</v>
      </c>
      <c r="B80" s="2">
        <v>165</v>
      </c>
      <c r="C80" s="2">
        <f>Table145[[#This Row],[Elev_CEM1]]-B95</f>
        <v>29</v>
      </c>
      <c r="D80" s="8">
        <f>Table145[[#This Row],[distance]]/$A$179</f>
        <v>0.44067796610169491</v>
      </c>
      <c r="E80" s="8">
        <f t="shared" si="3"/>
        <v>9.4128813559322033</v>
      </c>
      <c r="F80" s="8">
        <f t="shared" si="2"/>
        <v>4002.9548705084744</v>
      </c>
      <c r="G80" s="8">
        <f t="shared" si="4"/>
        <v>4.0029548705084741</v>
      </c>
    </row>
    <row r="81" spans="1:7" x14ac:dyDescent="0.25">
      <c r="A81" s="1">
        <v>79000</v>
      </c>
      <c r="B81" s="2">
        <v>163</v>
      </c>
      <c r="C81" s="2">
        <f>Table145[[#This Row],[Elev_CEM1]]-B96</f>
        <v>35</v>
      </c>
      <c r="D81" s="8">
        <f>Table145[[#This Row],[distance]]/$A$179</f>
        <v>0.4463276836158192</v>
      </c>
      <c r="E81" s="8">
        <f t="shared" si="3"/>
        <v>9.5335593220338986</v>
      </c>
      <c r="F81" s="8">
        <f t="shared" si="2"/>
        <v>3815.7880515254233</v>
      </c>
      <c r="G81" s="8">
        <f t="shared" si="4"/>
        <v>3.8157880515254234</v>
      </c>
    </row>
    <row r="82" spans="1:7" x14ac:dyDescent="0.25">
      <c r="A82" s="1">
        <v>80000</v>
      </c>
      <c r="B82" s="2">
        <v>153</v>
      </c>
      <c r="C82" s="2">
        <f>Table145[[#This Row],[Elev_CEM1]]-B97</f>
        <v>29</v>
      </c>
      <c r="D82" s="8">
        <f>Table145[[#This Row],[distance]]/$A$179</f>
        <v>0.4519774011299435</v>
      </c>
      <c r="E82" s="8">
        <f t="shared" si="3"/>
        <v>9.6542372881355938</v>
      </c>
      <c r="F82" s="8">
        <f t="shared" ref="F82:F145" si="5">(1000*E82*C67*0.85*9.81)/1000</f>
        <v>4347.1003118644066</v>
      </c>
      <c r="G82" s="8">
        <f t="shared" si="4"/>
        <v>4.3471003118644065</v>
      </c>
    </row>
    <row r="83" spans="1:7" x14ac:dyDescent="0.25">
      <c r="A83" s="1">
        <v>81000</v>
      </c>
      <c r="B83" s="2">
        <v>158</v>
      </c>
      <c r="C83" s="2">
        <f>Table145[[#This Row],[Elev_CEM1]]-B98</f>
        <v>34</v>
      </c>
      <c r="D83" s="8">
        <f>Table145[[#This Row],[distance]]/$A$179</f>
        <v>0.4576271186440678</v>
      </c>
      <c r="E83" s="8">
        <f t="shared" si="3"/>
        <v>9.7749152542372872</v>
      </c>
      <c r="F83" s="8">
        <f t="shared" si="5"/>
        <v>3749.3740189830501</v>
      </c>
      <c r="G83" s="8">
        <f t="shared" si="4"/>
        <v>3.7493740189830502</v>
      </c>
    </row>
    <row r="84" spans="1:7" x14ac:dyDescent="0.25">
      <c r="A84" s="1">
        <v>82000</v>
      </c>
      <c r="B84" s="2">
        <v>160</v>
      </c>
      <c r="C84" s="2">
        <f>Table145[[#This Row],[Elev_CEM1]]-B99</f>
        <v>42</v>
      </c>
      <c r="D84" s="8">
        <f>Table145[[#This Row],[distance]]/$A$179</f>
        <v>0.4632768361581921</v>
      </c>
      <c r="E84" s="8">
        <f t="shared" si="3"/>
        <v>9.8955932203389825</v>
      </c>
      <c r="F84" s="8">
        <f t="shared" si="5"/>
        <v>3383.090566779661</v>
      </c>
      <c r="G84" s="8">
        <f t="shared" si="4"/>
        <v>3.3830905667796611</v>
      </c>
    </row>
    <row r="85" spans="1:7" x14ac:dyDescent="0.25">
      <c r="A85" s="1">
        <v>83000</v>
      </c>
      <c r="B85" s="2">
        <v>149</v>
      </c>
      <c r="C85" s="2">
        <f>Table145[[#This Row],[Elev_CEM1]]-B100</f>
        <v>35</v>
      </c>
      <c r="D85" s="8">
        <f>Table145[[#This Row],[distance]]/$A$179</f>
        <v>0.46892655367231639</v>
      </c>
      <c r="E85" s="8">
        <f t="shared" si="3"/>
        <v>10.016271186440678</v>
      </c>
      <c r="F85" s="8">
        <f t="shared" si="5"/>
        <v>3674.9098006779659</v>
      </c>
      <c r="G85" s="8">
        <f t="shared" si="4"/>
        <v>3.6749098006779657</v>
      </c>
    </row>
    <row r="86" spans="1:7" x14ac:dyDescent="0.25">
      <c r="A86" s="1">
        <v>84000</v>
      </c>
      <c r="B86" s="2">
        <v>156</v>
      </c>
      <c r="C86" s="2">
        <f>Table145[[#This Row],[Elev_CEM1]]-B101</f>
        <v>31</v>
      </c>
      <c r="D86" s="8">
        <f>Table145[[#This Row],[distance]]/$A$179</f>
        <v>0.47457627118644069</v>
      </c>
      <c r="E86" s="8">
        <f t="shared" si="3"/>
        <v>10.136949152542373</v>
      </c>
      <c r="F86" s="8">
        <f t="shared" si="5"/>
        <v>3212.024119322034</v>
      </c>
      <c r="G86" s="8">
        <f t="shared" si="4"/>
        <v>3.212024119322034</v>
      </c>
    </row>
    <row r="87" spans="1:7" x14ac:dyDescent="0.25">
      <c r="A87" s="1">
        <v>85000</v>
      </c>
      <c r="B87" s="2">
        <v>148</v>
      </c>
      <c r="C87" s="2">
        <f>Table145[[#This Row],[Elev_CEM1]]-B102</f>
        <v>37</v>
      </c>
      <c r="D87" s="8">
        <f>Table145[[#This Row],[distance]]/$A$179</f>
        <v>0.48022598870056499</v>
      </c>
      <c r="E87" s="8">
        <f t="shared" si="3"/>
        <v>10.257627118644068</v>
      </c>
      <c r="F87" s="8">
        <f t="shared" si="5"/>
        <v>3677.9286203389829</v>
      </c>
      <c r="G87" s="8">
        <f t="shared" si="4"/>
        <v>3.6779286203389829</v>
      </c>
    </row>
    <row r="88" spans="1:7" x14ac:dyDescent="0.25">
      <c r="A88" s="1">
        <v>86000</v>
      </c>
      <c r="B88" s="2">
        <v>147</v>
      </c>
      <c r="C88" s="2">
        <f>Table145[[#This Row],[Elev_CEM1]]-B103</f>
        <v>34</v>
      </c>
      <c r="D88" s="8">
        <f>Table145[[#This Row],[distance]]/$A$179</f>
        <v>0.48587570621468928</v>
      </c>
      <c r="E88" s="8">
        <f t="shared" si="3"/>
        <v>10.378305084745763</v>
      </c>
      <c r="F88" s="8">
        <f t="shared" si="5"/>
        <v>3028.8823932203395</v>
      </c>
      <c r="G88" s="8">
        <f t="shared" si="4"/>
        <v>3.0288823932203397</v>
      </c>
    </row>
    <row r="89" spans="1:7" x14ac:dyDescent="0.25">
      <c r="A89" s="1">
        <v>87000</v>
      </c>
      <c r="B89" s="2">
        <v>143</v>
      </c>
      <c r="C89" s="2">
        <f>Table145[[#This Row],[Elev_CEM1]]-B104</f>
        <v>35</v>
      </c>
      <c r="D89" s="8">
        <f>Table145[[#This Row],[distance]]/$A$179</f>
        <v>0.49152542372881358</v>
      </c>
      <c r="E89" s="8">
        <f t="shared" si="3"/>
        <v>10.498983050847459</v>
      </c>
      <c r="F89" s="8">
        <f t="shared" si="5"/>
        <v>3501.8308067796615</v>
      </c>
      <c r="G89" s="8">
        <f t="shared" si="4"/>
        <v>3.5018308067796617</v>
      </c>
    </row>
    <row r="90" spans="1:7" x14ac:dyDescent="0.25">
      <c r="A90" s="1">
        <v>88000</v>
      </c>
      <c r="B90" s="2">
        <v>141</v>
      </c>
      <c r="C90" s="2">
        <f>Table145[[#This Row],[Elev_CEM1]]-B105</f>
        <v>34</v>
      </c>
      <c r="D90" s="8">
        <f>Table145[[#This Row],[distance]]/$A$179</f>
        <v>0.49717514124293788</v>
      </c>
      <c r="E90" s="8">
        <f t="shared" si="3"/>
        <v>10.619661016949152</v>
      </c>
      <c r="F90" s="8">
        <f t="shared" si="5"/>
        <v>3276.4256054237289</v>
      </c>
      <c r="G90" s="8">
        <f t="shared" si="4"/>
        <v>3.2764256054237291</v>
      </c>
    </row>
    <row r="91" spans="1:7" x14ac:dyDescent="0.25">
      <c r="A91" s="1">
        <v>89000</v>
      </c>
      <c r="B91" s="2">
        <v>138</v>
      </c>
      <c r="C91" s="2">
        <f>Table145[[#This Row],[Elev_CEM1]]-B106</f>
        <v>30</v>
      </c>
      <c r="D91" s="8">
        <f>Table145[[#This Row],[distance]]/$A$179</f>
        <v>0.50282485875706218</v>
      </c>
      <c r="E91" s="8">
        <f t="shared" si="3"/>
        <v>10.740338983050847</v>
      </c>
      <c r="F91" s="8">
        <f t="shared" si="5"/>
        <v>3492.7743477966101</v>
      </c>
      <c r="G91" s="8">
        <f t="shared" si="4"/>
        <v>3.49277434779661</v>
      </c>
    </row>
    <row r="92" spans="1:7" x14ac:dyDescent="0.25">
      <c r="A92" s="1">
        <v>90000</v>
      </c>
      <c r="B92" s="2">
        <v>144</v>
      </c>
      <c r="C92" s="2">
        <f>Table145[[#This Row],[Elev_CEM1]]-B107</f>
        <v>41</v>
      </c>
      <c r="D92" s="8">
        <f>Table145[[#This Row],[distance]]/$A$179</f>
        <v>0.50847457627118642</v>
      </c>
      <c r="E92" s="8">
        <f t="shared" si="3"/>
        <v>10.861016949152541</v>
      </c>
      <c r="F92" s="8">
        <f t="shared" si="5"/>
        <v>2535.8085152542367</v>
      </c>
      <c r="G92" s="8">
        <f t="shared" si="4"/>
        <v>2.5358085152542369</v>
      </c>
    </row>
    <row r="93" spans="1:7" x14ac:dyDescent="0.25">
      <c r="A93" s="1">
        <v>91000</v>
      </c>
      <c r="B93" s="2">
        <v>130</v>
      </c>
      <c r="C93" s="2">
        <f>Table145[[#This Row],[Elev_CEM1]]-B108</f>
        <v>32</v>
      </c>
      <c r="D93" s="8">
        <f>Table145[[#This Row],[distance]]/$A$179</f>
        <v>0.51412429378531077</v>
      </c>
      <c r="E93" s="8">
        <f t="shared" si="3"/>
        <v>10.981694915254238</v>
      </c>
      <c r="F93" s="8">
        <f t="shared" si="5"/>
        <v>3754.4053850847458</v>
      </c>
      <c r="G93" s="8">
        <f t="shared" si="4"/>
        <v>3.7544053850847456</v>
      </c>
    </row>
    <row r="94" spans="1:7" x14ac:dyDescent="0.25">
      <c r="A94" s="1">
        <v>92000</v>
      </c>
      <c r="B94" s="2">
        <v>136</v>
      </c>
      <c r="C94" s="2">
        <f>Table145[[#This Row],[Elev_CEM1]]-B109</f>
        <v>40</v>
      </c>
      <c r="D94" s="8">
        <f>Table145[[#This Row],[distance]]/$A$179</f>
        <v>0.51977401129943501</v>
      </c>
      <c r="E94" s="8">
        <f t="shared" si="3"/>
        <v>11.102372881355931</v>
      </c>
      <c r="F94" s="8">
        <f t="shared" si="5"/>
        <v>2592.1598155932206</v>
      </c>
      <c r="G94" s="8">
        <f t="shared" si="4"/>
        <v>2.5921598155932206</v>
      </c>
    </row>
    <row r="95" spans="1:7" x14ac:dyDescent="0.25">
      <c r="A95" s="1">
        <v>93000</v>
      </c>
      <c r="B95" s="2">
        <v>136</v>
      </c>
      <c r="C95" s="2">
        <f>Table145[[#This Row],[Elev_CEM1]]-B110</f>
        <v>29</v>
      </c>
      <c r="D95" s="8">
        <f>Table145[[#This Row],[distance]]/$A$179</f>
        <v>0.52542372881355937</v>
      </c>
      <c r="E95" s="8">
        <f t="shared" si="3"/>
        <v>11.223050847457628</v>
      </c>
      <c r="F95" s="8">
        <f t="shared" si="5"/>
        <v>2713.9188752542377</v>
      </c>
      <c r="G95" s="8">
        <f t="shared" si="4"/>
        <v>2.7139188752542376</v>
      </c>
    </row>
    <row r="96" spans="1:7" x14ac:dyDescent="0.25">
      <c r="A96" s="1">
        <v>94000</v>
      </c>
      <c r="B96" s="2">
        <v>128</v>
      </c>
      <c r="C96" s="2">
        <f>Table145[[#This Row],[Elev_CEM1]]-B111</f>
        <v>38</v>
      </c>
      <c r="D96" s="8">
        <f>Table145[[#This Row],[distance]]/$A$179</f>
        <v>0.53107344632768361</v>
      </c>
      <c r="E96" s="8">
        <f t="shared" si="3"/>
        <v>11.343728813559322</v>
      </c>
      <c r="F96" s="8">
        <f t="shared" si="5"/>
        <v>3310.6388949152542</v>
      </c>
      <c r="G96" s="8">
        <f t="shared" si="4"/>
        <v>3.3106388949152543</v>
      </c>
    </row>
    <row r="97" spans="1:7" x14ac:dyDescent="0.25">
      <c r="A97" s="1">
        <v>95000</v>
      </c>
      <c r="B97" s="2">
        <v>124</v>
      </c>
      <c r="C97" s="2">
        <f>Table145[[#This Row],[Elev_CEM1]]-B112</f>
        <v>35</v>
      </c>
      <c r="D97" s="8">
        <f>Table145[[#This Row],[distance]]/$A$179</f>
        <v>0.53672316384180796</v>
      </c>
      <c r="E97" s="8">
        <f t="shared" si="3"/>
        <v>11.464406779661017</v>
      </c>
      <c r="F97" s="8">
        <f t="shared" si="5"/>
        <v>2772.2827220338977</v>
      </c>
      <c r="G97" s="8">
        <f t="shared" si="4"/>
        <v>2.7722827220338977</v>
      </c>
    </row>
    <row r="98" spans="1:7" x14ac:dyDescent="0.25">
      <c r="A98" s="1">
        <v>96000</v>
      </c>
      <c r="B98" s="2">
        <v>124</v>
      </c>
      <c r="C98" s="2">
        <f>Table145[[#This Row],[Elev_CEM1]]-B113</f>
        <v>37</v>
      </c>
      <c r="D98" s="8">
        <f>Table145[[#This Row],[distance]]/$A$179</f>
        <v>0.5423728813559322</v>
      </c>
      <c r="E98" s="8">
        <f t="shared" si="3"/>
        <v>11.585084745762712</v>
      </c>
      <c r="F98" s="8">
        <f t="shared" si="5"/>
        <v>3284.4757911864413</v>
      </c>
      <c r="G98" s="8">
        <f t="shared" si="4"/>
        <v>3.2844757911864413</v>
      </c>
    </row>
    <row r="99" spans="1:7" x14ac:dyDescent="0.25">
      <c r="A99" s="1">
        <v>97000</v>
      </c>
      <c r="B99" s="2">
        <v>118</v>
      </c>
      <c r="C99" s="2">
        <f>Table145[[#This Row],[Elev_CEM1]]-B114</f>
        <v>25</v>
      </c>
      <c r="D99" s="8">
        <f>Table145[[#This Row],[distance]]/$A$179</f>
        <v>0.54802259887005644</v>
      </c>
      <c r="E99" s="8">
        <f t="shared" si="3"/>
        <v>11.705762711864406</v>
      </c>
      <c r="F99" s="8">
        <f t="shared" si="5"/>
        <v>4099.5570996610168</v>
      </c>
      <c r="G99" s="8">
        <f t="shared" si="4"/>
        <v>4.0995570996610171</v>
      </c>
    </row>
    <row r="100" spans="1:7" x14ac:dyDescent="0.25">
      <c r="A100" s="1">
        <v>98000</v>
      </c>
      <c r="B100" s="2">
        <v>114</v>
      </c>
      <c r="C100" s="2">
        <f>Table145[[#This Row],[Elev_CEM1]]-B115</f>
        <v>21</v>
      </c>
      <c r="D100" s="8">
        <f>Table145[[#This Row],[distance]]/$A$179</f>
        <v>0.5536723163841808</v>
      </c>
      <c r="E100" s="8">
        <f t="shared" si="3"/>
        <v>11.826440677966101</v>
      </c>
      <c r="F100" s="8">
        <f t="shared" si="5"/>
        <v>3451.5171457627116</v>
      </c>
      <c r="G100" s="8">
        <f t="shared" si="4"/>
        <v>3.4515171457627116</v>
      </c>
    </row>
    <row r="101" spans="1:7" x14ac:dyDescent="0.25">
      <c r="A101" s="1">
        <v>99000</v>
      </c>
      <c r="B101" s="2">
        <v>125</v>
      </c>
      <c r="C101" s="2">
        <f>Table145[[#This Row],[Elev_CEM1]]-B116</f>
        <v>42</v>
      </c>
      <c r="D101" s="8">
        <f>Table145[[#This Row],[distance]]/$A$179</f>
        <v>0.55932203389830504</v>
      </c>
      <c r="E101" s="8">
        <f t="shared" si="3"/>
        <v>11.947118644067796</v>
      </c>
      <c r="F101" s="8">
        <f t="shared" si="5"/>
        <v>3088.2525132203386</v>
      </c>
      <c r="G101" s="8">
        <f t="shared" si="4"/>
        <v>3.0882525132203384</v>
      </c>
    </row>
    <row r="102" spans="1:7" x14ac:dyDescent="0.25">
      <c r="A102" s="1">
        <v>100000</v>
      </c>
      <c r="B102" s="2">
        <v>111</v>
      </c>
      <c r="C102" s="2">
        <f>Table145[[#This Row],[Elev_CEM1]]-B117</f>
        <v>28</v>
      </c>
      <c r="D102" s="8">
        <f>Table145[[#This Row],[distance]]/$A$179</f>
        <v>0.56497175141242939</v>
      </c>
      <c r="E102" s="8">
        <f t="shared" si="3"/>
        <v>12.067796610169491</v>
      </c>
      <c r="F102" s="8">
        <f t="shared" si="5"/>
        <v>3723.2109152542371</v>
      </c>
      <c r="G102" s="8">
        <f t="shared" si="4"/>
        <v>3.7232109152542372</v>
      </c>
    </row>
    <row r="103" spans="1:7" x14ac:dyDescent="0.25">
      <c r="A103" s="1">
        <v>101000</v>
      </c>
      <c r="B103" s="2">
        <v>113</v>
      </c>
      <c r="C103" s="2">
        <f>Table145[[#This Row],[Elev_CEM1]]-B118</f>
        <v>31</v>
      </c>
      <c r="D103" s="8">
        <f>Table145[[#This Row],[distance]]/$A$179</f>
        <v>0.57062146892655363</v>
      </c>
      <c r="E103" s="8">
        <f t="shared" si="3"/>
        <v>12.188474576271185</v>
      </c>
      <c r="F103" s="8">
        <f t="shared" si="5"/>
        <v>3455.5422386440678</v>
      </c>
      <c r="G103" s="8">
        <f t="shared" si="4"/>
        <v>3.455542238644068</v>
      </c>
    </row>
    <row r="104" spans="1:7" x14ac:dyDescent="0.25">
      <c r="A104" s="1">
        <v>102000</v>
      </c>
      <c r="B104" s="2">
        <v>108</v>
      </c>
      <c r="C104" s="2">
        <f>Table145[[#This Row],[Elev_CEM1]]-B119</f>
        <v>24</v>
      </c>
      <c r="D104" s="8">
        <f>Table145[[#This Row],[distance]]/$A$179</f>
        <v>0.57627118644067798</v>
      </c>
      <c r="E104" s="8">
        <f t="shared" si="3"/>
        <v>12.309152542372882</v>
      </c>
      <c r="F104" s="8">
        <f t="shared" si="5"/>
        <v>3592.3953966101694</v>
      </c>
      <c r="G104" s="8">
        <f t="shared" si="4"/>
        <v>3.5923953966101694</v>
      </c>
    </row>
    <row r="105" spans="1:7" x14ac:dyDescent="0.25">
      <c r="A105" s="1">
        <v>103000</v>
      </c>
      <c r="B105" s="2">
        <v>107</v>
      </c>
      <c r="C105" s="2">
        <f>Table145[[#This Row],[Elev_CEM1]]-B120</f>
        <v>30</v>
      </c>
      <c r="D105" s="8">
        <f>Table145[[#This Row],[distance]]/$A$179</f>
        <v>0.58192090395480223</v>
      </c>
      <c r="E105" s="8">
        <f t="shared" si="3"/>
        <v>12.429830508474575</v>
      </c>
      <c r="F105" s="8">
        <f t="shared" si="5"/>
        <v>3523.9688176271184</v>
      </c>
      <c r="G105" s="8">
        <f t="shared" si="4"/>
        <v>3.5239688176271184</v>
      </c>
    </row>
    <row r="106" spans="1:7" x14ac:dyDescent="0.25">
      <c r="A106" s="1">
        <v>104000</v>
      </c>
      <c r="B106" s="2">
        <v>108</v>
      </c>
      <c r="C106" s="2">
        <f>Table145[[#This Row],[Elev_CEM1]]-B121</f>
        <v>28</v>
      </c>
      <c r="D106" s="8">
        <f>Table145[[#This Row],[distance]]/$A$179</f>
        <v>0.58757062146892658</v>
      </c>
      <c r="E106" s="8">
        <f t="shared" si="3"/>
        <v>12.550508474576272</v>
      </c>
      <c r="F106" s="8">
        <f t="shared" si="5"/>
        <v>3139.5724474576273</v>
      </c>
      <c r="G106" s="8">
        <f t="shared" si="4"/>
        <v>3.1395724474576272</v>
      </c>
    </row>
    <row r="107" spans="1:7" x14ac:dyDescent="0.25">
      <c r="A107" s="1">
        <v>105000</v>
      </c>
      <c r="B107" s="2">
        <v>103</v>
      </c>
      <c r="C107" s="2">
        <f>Table145[[#This Row],[Elev_CEM1]]-B122</f>
        <v>25</v>
      </c>
      <c r="D107" s="8">
        <f>Table145[[#This Row],[distance]]/$A$179</f>
        <v>0.59322033898305082</v>
      </c>
      <c r="E107" s="8">
        <f t="shared" si="3"/>
        <v>12.671186440677966</v>
      </c>
      <c r="F107" s="8">
        <f t="shared" si="5"/>
        <v>4332.0062135593216</v>
      </c>
      <c r="G107" s="8">
        <f t="shared" si="4"/>
        <v>4.332006213559322</v>
      </c>
    </row>
    <row r="108" spans="1:7" x14ac:dyDescent="0.25">
      <c r="A108" s="1">
        <v>106000</v>
      </c>
      <c r="B108" s="2">
        <v>98</v>
      </c>
      <c r="C108" s="2">
        <f>Table145[[#This Row],[Elev_CEM1]]-B123</f>
        <v>23</v>
      </c>
      <c r="D108" s="8">
        <f>Table145[[#This Row],[distance]]/$A$179</f>
        <v>0.59887005649717517</v>
      </c>
      <c r="E108" s="8">
        <f t="shared" si="3"/>
        <v>12.791864406779661</v>
      </c>
      <c r="F108" s="8">
        <f t="shared" si="5"/>
        <v>3413.2787633898306</v>
      </c>
      <c r="G108" s="8">
        <f t="shared" si="4"/>
        <v>3.4132787633898305</v>
      </c>
    </row>
    <row r="109" spans="1:7" x14ac:dyDescent="0.25">
      <c r="A109" s="1">
        <v>107000</v>
      </c>
      <c r="B109" s="2">
        <v>96</v>
      </c>
      <c r="C109" s="2">
        <f>Table145[[#This Row],[Elev_CEM1]]-B124</f>
        <v>23</v>
      </c>
      <c r="D109" s="8">
        <f>Table145[[#This Row],[distance]]/$A$179</f>
        <v>0.60451977401129942</v>
      </c>
      <c r="E109" s="8">
        <f t="shared" si="3"/>
        <v>12.912542372881354</v>
      </c>
      <c r="F109" s="8">
        <f t="shared" si="5"/>
        <v>4306.8493830508469</v>
      </c>
      <c r="G109" s="8">
        <f t="shared" si="4"/>
        <v>4.3068493830508467</v>
      </c>
    </row>
    <row r="110" spans="1:7" x14ac:dyDescent="0.25">
      <c r="A110" s="1">
        <v>108000</v>
      </c>
      <c r="B110" s="2">
        <v>107</v>
      </c>
      <c r="C110" s="2">
        <f>Table145[[#This Row],[Elev_CEM1]]-B125</f>
        <v>31</v>
      </c>
      <c r="D110" s="8">
        <f>Table145[[#This Row],[distance]]/$A$179</f>
        <v>0.61016949152542377</v>
      </c>
      <c r="E110" s="8">
        <f t="shared" si="3"/>
        <v>13.033220338983051</v>
      </c>
      <c r="F110" s="8">
        <f t="shared" si="5"/>
        <v>3151.6477261016953</v>
      </c>
      <c r="G110" s="8">
        <f t="shared" si="4"/>
        <v>3.1516477261016953</v>
      </c>
    </row>
    <row r="111" spans="1:7" x14ac:dyDescent="0.25">
      <c r="A111" s="1">
        <v>109000</v>
      </c>
      <c r="B111" s="2">
        <v>90</v>
      </c>
      <c r="C111" s="2">
        <f>Table145[[#This Row],[Elev_CEM1]]-B126</f>
        <v>10</v>
      </c>
      <c r="D111" s="8">
        <f>Table145[[#This Row],[distance]]/$A$179</f>
        <v>0.61581920903954801</v>
      </c>
      <c r="E111" s="8">
        <f t="shared" si="3"/>
        <v>13.153898305084745</v>
      </c>
      <c r="F111" s="8">
        <f t="shared" si="5"/>
        <v>4167.9836786440683</v>
      </c>
      <c r="G111" s="8">
        <f t="shared" si="4"/>
        <v>4.1679836786440685</v>
      </c>
    </row>
    <row r="112" spans="1:7" x14ac:dyDescent="0.25">
      <c r="A112" s="1">
        <v>110000</v>
      </c>
      <c r="B112" s="2">
        <v>89</v>
      </c>
      <c r="C112" s="2">
        <f>Table145[[#This Row],[Elev_CEM1]]-B127</f>
        <v>19</v>
      </c>
      <c r="D112" s="8">
        <f>Table145[[#This Row],[distance]]/$A$179</f>
        <v>0.62146892655367236</v>
      </c>
      <c r="E112" s="8">
        <f t="shared" si="3"/>
        <v>13.274576271186442</v>
      </c>
      <c r="F112" s="8">
        <f t="shared" si="5"/>
        <v>3874.1518983050855</v>
      </c>
      <c r="G112" s="8">
        <f t="shared" si="4"/>
        <v>3.8741518983050853</v>
      </c>
    </row>
    <row r="113" spans="1:7" x14ac:dyDescent="0.25">
      <c r="A113" s="1">
        <v>111000</v>
      </c>
      <c r="B113" s="2">
        <v>87</v>
      </c>
      <c r="C113" s="2">
        <f>Table145[[#This Row],[Elev_CEM1]]-B128</f>
        <v>11</v>
      </c>
      <c r="D113" s="8">
        <f>Table145[[#This Row],[distance]]/$A$179</f>
        <v>0.6271186440677966</v>
      </c>
      <c r="E113" s="8">
        <f t="shared" si="3"/>
        <v>13.395254237288135</v>
      </c>
      <c r="F113" s="8">
        <f t="shared" si="5"/>
        <v>4132.7641159322029</v>
      </c>
      <c r="G113" s="8">
        <f t="shared" si="4"/>
        <v>4.1327641159322033</v>
      </c>
    </row>
    <row r="114" spans="1:7" x14ac:dyDescent="0.25">
      <c r="A114" s="1">
        <v>112000</v>
      </c>
      <c r="B114" s="2">
        <v>93</v>
      </c>
      <c r="C114" s="2">
        <f>Table145[[#This Row],[Elev_CEM1]]-B129</f>
        <v>21</v>
      </c>
      <c r="D114" s="8">
        <f>Table145[[#This Row],[distance]]/$A$179</f>
        <v>0.63276836158192096</v>
      </c>
      <c r="E114" s="8">
        <f t="shared" si="3"/>
        <v>13.515932203389831</v>
      </c>
      <c r="F114" s="8">
        <f t="shared" si="5"/>
        <v>2817.5650169491528</v>
      </c>
      <c r="G114" s="8">
        <f t="shared" si="4"/>
        <v>2.8175650169491528</v>
      </c>
    </row>
    <row r="115" spans="1:7" x14ac:dyDescent="0.25">
      <c r="A115" s="1">
        <v>113000</v>
      </c>
      <c r="B115" s="2">
        <v>93</v>
      </c>
      <c r="C115" s="2">
        <f>Table145[[#This Row],[Elev_CEM1]]-B130</f>
        <v>25</v>
      </c>
      <c r="D115" s="8">
        <f>Table145[[#This Row],[distance]]/$A$179</f>
        <v>0.6384180790960452</v>
      </c>
      <c r="E115" s="8">
        <f t="shared" si="3"/>
        <v>13.636610169491526</v>
      </c>
      <c r="F115" s="8">
        <f t="shared" si="5"/>
        <v>2387.8863518644071</v>
      </c>
      <c r="G115" s="8">
        <f t="shared" si="4"/>
        <v>2.3878863518644069</v>
      </c>
    </row>
    <row r="116" spans="1:7" x14ac:dyDescent="0.25">
      <c r="A116" s="1">
        <v>114000</v>
      </c>
      <c r="B116" s="2">
        <v>83</v>
      </c>
      <c r="C116" s="2">
        <f>Table145[[#This Row],[Elev_CEM1]]-B131</f>
        <v>16</v>
      </c>
      <c r="D116" s="8">
        <f>Table145[[#This Row],[distance]]/$A$179</f>
        <v>0.64406779661016944</v>
      </c>
      <c r="E116" s="8">
        <f t="shared" si="3"/>
        <v>13.757288135593219</v>
      </c>
      <c r="F116" s="8">
        <f t="shared" si="5"/>
        <v>4818.0361789830504</v>
      </c>
      <c r="G116" s="8">
        <f t="shared" si="4"/>
        <v>4.8180361789830508</v>
      </c>
    </row>
    <row r="117" spans="1:7" x14ac:dyDescent="0.25">
      <c r="A117" s="1">
        <v>115000</v>
      </c>
      <c r="B117" s="2">
        <v>83</v>
      </c>
      <c r="C117" s="2">
        <f>Table145[[#This Row],[Elev_CEM1]]-B132</f>
        <v>20</v>
      </c>
      <c r="D117" s="8">
        <f>Table145[[#This Row],[distance]]/$A$179</f>
        <v>0.64971751412429379</v>
      </c>
      <c r="E117" s="8">
        <f t="shared" si="3"/>
        <v>13.877966101694915</v>
      </c>
      <c r="F117" s="8">
        <f t="shared" si="5"/>
        <v>3240.1997694915253</v>
      </c>
      <c r="G117" s="8">
        <f t="shared" si="4"/>
        <v>3.2401997694915252</v>
      </c>
    </row>
    <row r="118" spans="1:7" x14ac:dyDescent="0.25">
      <c r="A118" s="1">
        <v>116000</v>
      </c>
      <c r="B118" s="2">
        <v>82</v>
      </c>
      <c r="C118" s="2">
        <f>Table145[[#This Row],[Elev_CEM1]]-B133</f>
        <v>11</v>
      </c>
      <c r="D118" s="8">
        <f>Table145[[#This Row],[distance]]/$A$179</f>
        <v>0.65536723163841804</v>
      </c>
      <c r="E118" s="8">
        <f t="shared" si="3"/>
        <v>13.99864406779661</v>
      </c>
      <c r="F118" s="8">
        <f t="shared" si="5"/>
        <v>3618.5585003389833</v>
      </c>
      <c r="G118" s="8">
        <f t="shared" si="4"/>
        <v>3.6185585003389833</v>
      </c>
    </row>
    <row r="119" spans="1:7" x14ac:dyDescent="0.25">
      <c r="A119" s="1">
        <v>117000</v>
      </c>
      <c r="B119" s="2">
        <v>84</v>
      </c>
      <c r="C119" s="2">
        <f>Table145[[#This Row],[Elev_CEM1]]-B134</f>
        <v>16</v>
      </c>
      <c r="D119" s="8">
        <f>Table145[[#This Row],[distance]]/$A$179</f>
        <v>0.66101694915254239</v>
      </c>
      <c r="E119" s="8">
        <f t="shared" si="3"/>
        <v>14.119322033898305</v>
      </c>
      <c r="F119" s="8">
        <f t="shared" si="5"/>
        <v>2825.6152027118642</v>
      </c>
      <c r="G119" s="8">
        <f t="shared" si="4"/>
        <v>2.8256152027118642</v>
      </c>
    </row>
    <row r="120" spans="1:7" x14ac:dyDescent="0.25">
      <c r="A120" s="1">
        <v>118000</v>
      </c>
      <c r="B120" s="2">
        <v>77</v>
      </c>
      <c r="C120" s="2">
        <f>Table145[[#This Row],[Elev_CEM1]]-B135</f>
        <v>3</v>
      </c>
      <c r="D120" s="8">
        <f>Table145[[#This Row],[distance]]/$A$179</f>
        <v>0.66666666666666663</v>
      </c>
      <c r="E120" s="8">
        <f t="shared" si="3"/>
        <v>14.239999999999998</v>
      </c>
      <c r="F120" s="8">
        <f t="shared" si="5"/>
        <v>3562.2071999999998</v>
      </c>
      <c r="G120" s="8">
        <f t="shared" si="4"/>
        <v>3.5622072</v>
      </c>
    </row>
    <row r="121" spans="1:7" x14ac:dyDescent="0.25">
      <c r="A121" s="1">
        <v>119000</v>
      </c>
      <c r="B121" s="2">
        <v>80</v>
      </c>
      <c r="C121" s="2">
        <f>Table145[[#This Row],[Elev_CEM1]]-B136</f>
        <v>11</v>
      </c>
      <c r="D121" s="8">
        <f>Table145[[#This Row],[distance]]/$A$179</f>
        <v>0.67231638418079098</v>
      </c>
      <c r="E121" s="8">
        <f t="shared" si="3"/>
        <v>14.360677966101695</v>
      </c>
      <c r="F121" s="8">
        <f t="shared" si="5"/>
        <v>3352.9023701694919</v>
      </c>
      <c r="G121" s="8">
        <f t="shared" si="4"/>
        <v>3.3529023701694918</v>
      </c>
    </row>
    <row r="122" spans="1:7" x14ac:dyDescent="0.25">
      <c r="A122" s="1">
        <v>120000</v>
      </c>
      <c r="B122" s="2">
        <v>78</v>
      </c>
      <c r="C122" s="2">
        <f>Table145[[#This Row],[Elev_CEM1]]-B137</f>
        <v>12</v>
      </c>
      <c r="D122" s="8">
        <f>Table145[[#This Row],[distance]]/$A$179</f>
        <v>0.67796610169491522</v>
      </c>
      <c r="E122" s="8">
        <f t="shared" si="3"/>
        <v>14.481355932203389</v>
      </c>
      <c r="F122" s="8">
        <f t="shared" si="5"/>
        <v>3018.8196610169493</v>
      </c>
      <c r="G122" s="8">
        <f t="shared" si="4"/>
        <v>3.0188196610169493</v>
      </c>
    </row>
    <row r="123" spans="1:7" x14ac:dyDescent="0.25">
      <c r="A123" s="1">
        <v>121000</v>
      </c>
      <c r="B123" s="2">
        <v>75</v>
      </c>
      <c r="C123" s="2">
        <f>Table145[[#This Row],[Elev_CEM1]]-B138</f>
        <v>9</v>
      </c>
      <c r="D123" s="8">
        <f>Table145[[#This Row],[distance]]/$A$179</f>
        <v>0.68361581920903958</v>
      </c>
      <c r="E123" s="8">
        <f t="shared" si="3"/>
        <v>14.602033898305084</v>
      </c>
      <c r="F123" s="8">
        <f t="shared" si="5"/>
        <v>2800.4583722033894</v>
      </c>
      <c r="G123" s="8">
        <f t="shared" si="4"/>
        <v>2.8004583722033893</v>
      </c>
    </row>
    <row r="124" spans="1:7" x14ac:dyDescent="0.25">
      <c r="A124" s="1">
        <v>122000</v>
      </c>
      <c r="B124" s="2">
        <v>73</v>
      </c>
      <c r="C124" s="2">
        <f>Table145[[#This Row],[Elev_CEM1]]-B139</f>
        <v>7</v>
      </c>
      <c r="D124" s="8">
        <f>Table145[[#This Row],[distance]]/$A$179</f>
        <v>0.68926553672316382</v>
      </c>
      <c r="E124" s="8">
        <f t="shared" si="3"/>
        <v>14.722711864406779</v>
      </c>
      <c r="F124" s="8">
        <f t="shared" si="5"/>
        <v>2823.6026562711863</v>
      </c>
      <c r="G124" s="8">
        <f t="shared" si="4"/>
        <v>2.8236026562711865</v>
      </c>
    </row>
    <row r="125" spans="1:7" x14ac:dyDescent="0.25">
      <c r="A125" s="1">
        <v>123000</v>
      </c>
      <c r="B125" s="2">
        <v>76</v>
      </c>
      <c r="C125" s="2">
        <f>Table145[[#This Row],[Elev_CEM1]]-B140</f>
        <v>14</v>
      </c>
      <c r="D125" s="8">
        <f>Table145[[#This Row],[distance]]/$A$179</f>
        <v>0.69491525423728817</v>
      </c>
      <c r="E125" s="8">
        <f t="shared" si="3"/>
        <v>14.843389830508475</v>
      </c>
      <c r="F125" s="8">
        <f t="shared" si="5"/>
        <v>3836.9197891525423</v>
      </c>
      <c r="G125" s="8">
        <f t="shared" si="4"/>
        <v>3.8369197891525424</v>
      </c>
    </row>
    <row r="126" spans="1:7" x14ac:dyDescent="0.25">
      <c r="A126" s="1">
        <v>124000</v>
      </c>
      <c r="B126" s="2">
        <v>80</v>
      </c>
      <c r="C126" s="2">
        <f>Table145[[#This Row],[Elev_CEM1]]-B141</f>
        <v>10</v>
      </c>
      <c r="D126" s="8">
        <f>Table145[[#This Row],[distance]]/$A$179</f>
        <v>0.70056497175141241</v>
      </c>
      <c r="E126" s="8">
        <f t="shared" si="3"/>
        <v>14.964067796610168</v>
      </c>
      <c r="F126" s="8">
        <f t="shared" si="5"/>
        <v>1247.7787932203389</v>
      </c>
      <c r="G126" s="8">
        <f t="shared" si="4"/>
        <v>1.247778793220339</v>
      </c>
    </row>
    <row r="127" spans="1:7" x14ac:dyDescent="0.25">
      <c r="A127" s="1">
        <v>125000</v>
      </c>
      <c r="B127" s="2">
        <v>70</v>
      </c>
      <c r="C127" s="2">
        <f>Table145[[#This Row],[Elev_CEM1]]-B142</f>
        <v>6</v>
      </c>
      <c r="D127" s="8">
        <f>Table145[[#This Row],[distance]]/$A$179</f>
        <v>0.70621468926553677</v>
      </c>
      <c r="E127" s="8">
        <f t="shared" si="3"/>
        <v>15.084745762711865</v>
      </c>
      <c r="F127" s="8">
        <f t="shared" si="5"/>
        <v>2389.8988983050849</v>
      </c>
      <c r="G127" s="8">
        <f t="shared" si="4"/>
        <v>2.3898988983050851</v>
      </c>
    </row>
    <row r="128" spans="1:7" x14ac:dyDescent="0.25">
      <c r="A128" s="1">
        <v>126000</v>
      </c>
      <c r="B128" s="2">
        <v>76</v>
      </c>
      <c r="C128" s="2">
        <f>Table145[[#This Row],[Elev_CEM1]]-B143</f>
        <v>3</v>
      </c>
      <c r="D128" s="8">
        <f>Table145[[#This Row],[distance]]/$A$179</f>
        <v>0.71186440677966101</v>
      </c>
      <c r="E128" s="8">
        <f t="shared" si="3"/>
        <v>15.205423728813559</v>
      </c>
      <c r="F128" s="8">
        <f t="shared" si="5"/>
        <v>1394.6946833898307</v>
      </c>
      <c r="G128" s="8">
        <f t="shared" si="4"/>
        <v>1.3946946833898308</v>
      </c>
    </row>
    <row r="129" spans="1:7" x14ac:dyDescent="0.25">
      <c r="A129" s="1">
        <v>127000</v>
      </c>
      <c r="B129" s="2">
        <v>72</v>
      </c>
      <c r="C129" s="2">
        <f>Table145[[#This Row],[Elev_CEM1]]-B144</f>
        <v>9</v>
      </c>
      <c r="D129" s="8">
        <f>Table145[[#This Row],[distance]]/$A$179</f>
        <v>0.71751412429378536</v>
      </c>
      <c r="E129" s="8">
        <f t="shared" si="3"/>
        <v>15.326101694915256</v>
      </c>
      <c r="F129" s="8">
        <f t="shared" si="5"/>
        <v>2683.7306786440681</v>
      </c>
      <c r="G129" s="8">
        <f t="shared" si="4"/>
        <v>2.6837306786440682</v>
      </c>
    </row>
    <row r="130" spans="1:7" x14ac:dyDescent="0.25">
      <c r="A130" s="1">
        <v>128000</v>
      </c>
      <c r="B130" s="2">
        <v>68</v>
      </c>
      <c r="C130" s="2">
        <f>Table145[[#This Row],[Elev_CEM1]]-B145</f>
        <v>0</v>
      </c>
      <c r="D130" s="8">
        <f>Table145[[#This Row],[distance]]/$A$179</f>
        <v>0.7231638418079096</v>
      </c>
      <c r="E130" s="8">
        <f t="shared" ref="E130:E179" si="6">21.36*D130</f>
        <v>15.446779661016949</v>
      </c>
      <c r="F130" s="8">
        <f t="shared" si="5"/>
        <v>3220.0743050847459</v>
      </c>
      <c r="G130" s="8">
        <f t="shared" si="4"/>
        <v>3.2200743050847458</v>
      </c>
    </row>
    <row r="131" spans="1:7" x14ac:dyDescent="0.25">
      <c r="A131" s="1">
        <v>129000</v>
      </c>
      <c r="B131" s="2">
        <v>67</v>
      </c>
      <c r="C131" s="2">
        <f>Table145[[#This Row],[Elev_CEM1]]-B146</f>
        <v>13</v>
      </c>
      <c r="D131" s="8">
        <f>Table145[[#This Row],[distance]]/$A$179</f>
        <v>0.72881355932203384</v>
      </c>
      <c r="E131" s="8">
        <f t="shared" si="6"/>
        <v>15.567457627118642</v>
      </c>
      <c r="F131" s="8">
        <f t="shared" si="5"/>
        <v>2076.947926779661</v>
      </c>
      <c r="G131" s="8">
        <f t="shared" si="4"/>
        <v>2.0769479267796611</v>
      </c>
    </row>
    <row r="132" spans="1:7" x14ac:dyDescent="0.25">
      <c r="A132" s="1">
        <v>130000</v>
      </c>
      <c r="B132" s="2">
        <v>63</v>
      </c>
      <c r="C132" s="2">
        <f>Table145[[#This Row],[Elev_CEM1]]-B147</f>
        <v>-2</v>
      </c>
      <c r="D132" s="8">
        <f>Table145[[#This Row],[distance]]/$A$179</f>
        <v>0.7344632768361582</v>
      </c>
      <c r="E132" s="8">
        <f t="shared" si="6"/>
        <v>15.688135593220339</v>
      </c>
      <c r="F132" s="8">
        <f t="shared" si="5"/>
        <v>2616.3103728813562</v>
      </c>
      <c r="G132" s="8">
        <f t="shared" si="4"/>
        <v>2.6163103728813564</v>
      </c>
    </row>
    <row r="133" spans="1:7" x14ac:dyDescent="0.25">
      <c r="A133" s="1">
        <v>131000</v>
      </c>
      <c r="B133" s="2">
        <v>71</v>
      </c>
      <c r="C133" s="2">
        <f>Table145[[#This Row],[Elev_CEM1]]-B148</f>
        <v>9</v>
      </c>
      <c r="D133" s="8">
        <f>Table145[[#This Row],[distance]]/$A$179</f>
        <v>0.74011299435028244</v>
      </c>
      <c r="E133" s="8">
        <f t="shared" si="6"/>
        <v>15.808813559322033</v>
      </c>
      <c r="F133" s="8">
        <f t="shared" si="5"/>
        <v>1450.0397105084746</v>
      </c>
      <c r="G133" s="8">
        <f t="shared" si="4"/>
        <v>1.4500397105084746</v>
      </c>
    </row>
    <row r="134" spans="1:7" x14ac:dyDescent="0.25">
      <c r="A134" s="1">
        <v>132000</v>
      </c>
      <c r="B134" s="2">
        <v>68</v>
      </c>
      <c r="C134" s="2">
        <f>Table145[[#This Row],[Elev_CEM1]]-B149</f>
        <v>6</v>
      </c>
      <c r="D134" s="8">
        <f>Table145[[#This Row],[distance]]/$A$179</f>
        <v>0.74576271186440679</v>
      </c>
      <c r="E134" s="8">
        <f t="shared" si="6"/>
        <v>15.929491525423728</v>
      </c>
      <c r="F134" s="8">
        <f t="shared" si="5"/>
        <v>2125.2490413559321</v>
      </c>
      <c r="G134" s="8">
        <f t="shared" si="4"/>
        <v>2.1252490413559322</v>
      </c>
    </row>
    <row r="135" spans="1:7" x14ac:dyDescent="0.25">
      <c r="A135" s="1">
        <v>133000</v>
      </c>
      <c r="B135" s="2">
        <v>74</v>
      </c>
      <c r="C135" s="2">
        <f>Table145[[#This Row],[Elev_CEM1]]-B150</f>
        <v>9</v>
      </c>
      <c r="D135" s="8">
        <f>Table145[[#This Row],[distance]]/$A$179</f>
        <v>0.75141242937853103</v>
      </c>
      <c r="E135" s="8">
        <f t="shared" si="6"/>
        <v>16.050169491525423</v>
      </c>
      <c r="F135" s="8">
        <f t="shared" si="5"/>
        <v>401.50301491525425</v>
      </c>
      <c r="G135" s="8">
        <f t="shared" si="4"/>
        <v>0.40150301491525425</v>
      </c>
    </row>
    <row r="136" spans="1:7" x14ac:dyDescent="0.25">
      <c r="A136" s="1">
        <v>134000</v>
      </c>
      <c r="B136" s="2">
        <v>69</v>
      </c>
      <c r="C136" s="2">
        <f>Table145[[#This Row],[Elev_CEM1]]-B151</f>
        <v>4</v>
      </c>
      <c r="D136" s="8">
        <f>Table145[[#This Row],[distance]]/$A$179</f>
        <v>0.75706214689265539</v>
      </c>
      <c r="E136" s="8">
        <f t="shared" si="6"/>
        <v>16.170847457627119</v>
      </c>
      <c r="F136" s="8">
        <f t="shared" si="5"/>
        <v>1483.246726779661</v>
      </c>
      <c r="G136" s="8">
        <f t="shared" si="4"/>
        <v>1.483246726779661</v>
      </c>
    </row>
    <row r="137" spans="1:7" x14ac:dyDescent="0.25">
      <c r="A137" s="1">
        <v>135000</v>
      </c>
      <c r="B137" s="2">
        <v>66</v>
      </c>
      <c r="C137" s="2">
        <f>Table145[[#This Row],[Elev_CEM1]]-B152</f>
        <v>3</v>
      </c>
      <c r="D137" s="8">
        <f>Table145[[#This Row],[distance]]/$A$179</f>
        <v>0.76271186440677963</v>
      </c>
      <c r="E137" s="8">
        <f t="shared" si="6"/>
        <v>16.291525423728814</v>
      </c>
      <c r="F137" s="8">
        <f t="shared" si="5"/>
        <v>1630.1626169491526</v>
      </c>
      <c r="G137" s="8">
        <f t="shared" si="4"/>
        <v>1.6301626169491525</v>
      </c>
    </row>
    <row r="138" spans="1:7" x14ac:dyDescent="0.25">
      <c r="A138" s="1">
        <v>136000</v>
      </c>
      <c r="B138" s="2">
        <v>66</v>
      </c>
      <c r="C138" s="2">
        <f>Table145[[#This Row],[Elev_CEM1]]-B153</f>
        <v>12</v>
      </c>
      <c r="D138" s="8">
        <f>Table145[[#This Row],[distance]]/$A$179</f>
        <v>0.76836158192090398</v>
      </c>
      <c r="E138" s="8">
        <f t="shared" si="6"/>
        <v>16.412203389830509</v>
      </c>
      <c r="F138" s="8">
        <f t="shared" si="5"/>
        <v>1231.6784216949152</v>
      </c>
      <c r="G138" s="8">
        <f t="shared" si="4"/>
        <v>1.2316784216949153</v>
      </c>
    </row>
    <row r="139" spans="1:7" x14ac:dyDescent="0.25">
      <c r="A139" s="1">
        <v>137000</v>
      </c>
      <c r="B139" s="2">
        <v>66</v>
      </c>
      <c r="C139" s="2">
        <f>Table145[[#This Row],[Elev_CEM1]]-B154</f>
        <v>9</v>
      </c>
      <c r="D139" s="8">
        <f>Table145[[#This Row],[distance]]/$A$179</f>
        <v>0.77401129943502822</v>
      </c>
      <c r="E139" s="8">
        <f t="shared" si="6"/>
        <v>16.532881355932201</v>
      </c>
      <c r="F139" s="8">
        <f t="shared" si="5"/>
        <v>965.01601830508457</v>
      </c>
      <c r="G139" s="8">
        <f t="shared" si="4"/>
        <v>0.96501601830508454</v>
      </c>
    </row>
    <row r="140" spans="1:7" x14ac:dyDescent="0.25">
      <c r="A140" s="1">
        <v>138000</v>
      </c>
      <c r="B140" s="2">
        <v>62</v>
      </c>
      <c r="C140" s="2">
        <f>Table145[[#This Row],[Elev_CEM1]]-B155</f>
        <v>9</v>
      </c>
      <c r="D140" s="8">
        <f>Table145[[#This Row],[distance]]/$A$179</f>
        <v>0.77966101694915257</v>
      </c>
      <c r="E140" s="8">
        <f t="shared" si="6"/>
        <v>16.6535593220339</v>
      </c>
      <c r="F140" s="8">
        <f t="shared" si="5"/>
        <v>1944.1198616949157</v>
      </c>
      <c r="G140" s="8">
        <f t="shared" si="4"/>
        <v>1.9441198616949158</v>
      </c>
    </row>
    <row r="141" spans="1:7" x14ac:dyDescent="0.25">
      <c r="A141" s="1">
        <v>139000</v>
      </c>
      <c r="B141" s="2">
        <v>70</v>
      </c>
      <c r="C141" s="2">
        <f>Table145[[#This Row],[Elev_CEM1]]-B156</f>
        <v>21</v>
      </c>
      <c r="D141" s="8">
        <f>Table145[[#This Row],[distance]]/$A$179</f>
        <v>0.78531073446327682</v>
      </c>
      <c r="E141" s="8">
        <f t="shared" si="6"/>
        <v>16.774237288135591</v>
      </c>
      <c r="F141" s="8">
        <f t="shared" si="5"/>
        <v>1398.7197762711864</v>
      </c>
      <c r="G141" s="8">
        <f t="shared" ref="G141:G179" si="7">F141/1000</f>
        <v>1.3987197762711865</v>
      </c>
    </row>
    <row r="142" spans="1:7" x14ac:dyDescent="0.25">
      <c r="A142" s="1">
        <v>140000</v>
      </c>
      <c r="B142" s="2">
        <v>64</v>
      </c>
      <c r="C142" s="2">
        <f>Table145[[#This Row],[Elev_CEM1]]-B157</f>
        <v>10</v>
      </c>
      <c r="D142" s="8">
        <f>Table145[[#This Row],[distance]]/$A$179</f>
        <v>0.79096045197740117</v>
      </c>
      <c r="E142" s="8">
        <f t="shared" si="6"/>
        <v>16.89491525423729</v>
      </c>
      <c r="F142" s="8">
        <f t="shared" si="5"/>
        <v>845.2695050847459</v>
      </c>
      <c r="G142" s="8">
        <f t="shared" si="7"/>
        <v>0.84526950508474585</v>
      </c>
    </row>
    <row r="143" spans="1:7" x14ac:dyDescent="0.25">
      <c r="A143" s="1">
        <v>141000</v>
      </c>
      <c r="B143" s="2">
        <v>73</v>
      </c>
      <c r="C143" s="2">
        <f>Table145[[#This Row],[Elev_CEM1]]-B158</f>
        <v>18</v>
      </c>
      <c r="D143" s="8">
        <f>Table145[[#This Row],[distance]]/$A$179</f>
        <v>0.79661016949152541</v>
      </c>
      <c r="E143" s="8">
        <f t="shared" si="6"/>
        <v>17.015593220338982</v>
      </c>
      <c r="F143" s="8">
        <f t="shared" si="5"/>
        <v>425.65357220338979</v>
      </c>
      <c r="G143" s="8">
        <f t="shared" si="7"/>
        <v>0.42565357220338979</v>
      </c>
    </row>
    <row r="144" spans="1:7" x14ac:dyDescent="0.25">
      <c r="A144" s="1">
        <v>142000</v>
      </c>
      <c r="B144" s="2">
        <v>63</v>
      </c>
      <c r="C144" s="2">
        <f>Table145[[#This Row],[Elev_CEM1]]-B159</f>
        <v>13</v>
      </c>
      <c r="D144" s="8">
        <f>Table145[[#This Row],[distance]]/$A$179</f>
        <v>0.80225988700564976</v>
      </c>
      <c r="E144" s="8">
        <f t="shared" si="6"/>
        <v>17.136271186440677</v>
      </c>
      <c r="F144" s="8">
        <f t="shared" si="5"/>
        <v>1286.0171755932204</v>
      </c>
      <c r="G144" s="8">
        <f t="shared" si="7"/>
        <v>1.2860171755932204</v>
      </c>
    </row>
    <row r="145" spans="1:7" x14ac:dyDescent="0.25">
      <c r="A145" s="1">
        <v>143000</v>
      </c>
      <c r="B145" s="2">
        <v>68</v>
      </c>
      <c r="C145" s="2">
        <f>Table145[[#This Row],[Elev_CEM1]]-B160</f>
        <v>17</v>
      </c>
      <c r="D145" s="8">
        <f>Table145[[#This Row],[distance]]/$A$179</f>
        <v>0.80790960451977401</v>
      </c>
      <c r="E145" s="8">
        <f t="shared" si="6"/>
        <v>17.256949152542372</v>
      </c>
      <c r="F145" s="8">
        <f t="shared" si="5"/>
        <v>0</v>
      </c>
      <c r="G145" s="8">
        <f t="shared" si="7"/>
        <v>0</v>
      </c>
    </row>
    <row r="146" spans="1:7" x14ac:dyDescent="0.25">
      <c r="A146" s="1">
        <v>144000</v>
      </c>
      <c r="B146" s="2">
        <v>54</v>
      </c>
      <c r="C146" s="2">
        <f>Table145[[#This Row],[Elev_CEM1]]-B161</f>
        <v>-1</v>
      </c>
      <c r="D146" s="8">
        <f>Table145[[#This Row],[distance]]/$A$179</f>
        <v>0.81355932203389836</v>
      </c>
      <c r="E146" s="8">
        <f t="shared" si="6"/>
        <v>17.377627118644067</v>
      </c>
      <c r="F146" s="8">
        <f t="shared" ref="F146:F179" si="8">(1000*E146*C131*0.85*9.81)/1000</f>
        <v>1883.7434684745763</v>
      </c>
      <c r="G146" s="8">
        <f t="shared" si="7"/>
        <v>1.8837434684745762</v>
      </c>
    </row>
    <row r="147" spans="1:7" x14ac:dyDescent="0.25">
      <c r="A147" s="1">
        <v>145000</v>
      </c>
      <c r="B147" s="2">
        <v>65</v>
      </c>
      <c r="C147" s="2">
        <f>Table145[[#This Row],[Elev_CEM1]]-B162</f>
        <v>4</v>
      </c>
      <c r="D147" s="8">
        <f>Table145[[#This Row],[distance]]/$A$179</f>
        <v>0.8192090395480226</v>
      </c>
      <c r="E147" s="8">
        <f t="shared" si="6"/>
        <v>17.498305084745763</v>
      </c>
      <c r="F147" s="8">
        <f t="shared" si="8"/>
        <v>-291.81923389830513</v>
      </c>
      <c r="G147" s="8">
        <f t="shared" si="7"/>
        <v>-0.29181923389830511</v>
      </c>
    </row>
    <row r="148" spans="1:7" x14ac:dyDescent="0.25">
      <c r="A148" s="1">
        <v>146000</v>
      </c>
      <c r="B148" s="2">
        <v>62</v>
      </c>
      <c r="C148" s="2">
        <f>Table145[[#This Row],[Elev_CEM1]]-B163</f>
        <v>0</v>
      </c>
      <c r="D148" s="8">
        <f>Table145[[#This Row],[distance]]/$A$179</f>
        <v>0.82485875706214684</v>
      </c>
      <c r="E148" s="8">
        <f t="shared" si="6"/>
        <v>17.618983050847454</v>
      </c>
      <c r="F148" s="8">
        <f t="shared" si="8"/>
        <v>1322.2430115254235</v>
      </c>
      <c r="G148" s="8">
        <f t="shared" si="7"/>
        <v>1.3222430115254236</v>
      </c>
    </row>
    <row r="149" spans="1:7" x14ac:dyDescent="0.25">
      <c r="A149" s="1">
        <v>147000</v>
      </c>
      <c r="B149" s="2">
        <v>62</v>
      </c>
      <c r="C149" s="2">
        <f>Table145[[#This Row],[Elev_CEM1]]-B164</f>
        <v>8</v>
      </c>
      <c r="D149" s="8">
        <f>Table145[[#This Row],[distance]]/$A$179</f>
        <v>0.83050847457627119</v>
      </c>
      <c r="E149" s="8">
        <f t="shared" si="6"/>
        <v>17.739661016949153</v>
      </c>
      <c r="F149" s="8">
        <f t="shared" si="8"/>
        <v>887.53298033898329</v>
      </c>
      <c r="G149" s="8">
        <f t="shared" si="7"/>
        <v>0.88753298033898331</v>
      </c>
    </row>
    <row r="150" spans="1:7" x14ac:dyDescent="0.25">
      <c r="A150" s="1">
        <v>148000</v>
      </c>
      <c r="B150" s="2">
        <v>65</v>
      </c>
      <c r="C150" s="2">
        <f>Table145[[#This Row],[Elev_CEM1]]-B165</f>
        <v>11</v>
      </c>
      <c r="D150" s="8">
        <f>Table145[[#This Row],[distance]]/$A$179</f>
        <v>0.83615819209039544</v>
      </c>
      <c r="E150" s="8">
        <f t="shared" si="6"/>
        <v>17.860338983050845</v>
      </c>
      <c r="F150" s="8">
        <f t="shared" si="8"/>
        <v>1340.3559294915253</v>
      </c>
      <c r="G150" s="8">
        <f t="shared" si="7"/>
        <v>1.3403559294915253</v>
      </c>
    </row>
    <row r="151" spans="1:7" x14ac:dyDescent="0.25">
      <c r="A151" s="1">
        <v>149000</v>
      </c>
      <c r="B151" s="2">
        <v>65</v>
      </c>
      <c r="C151" s="2">
        <f>Table145[[#This Row],[Elev_CEM1]]-B166</f>
        <v>9</v>
      </c>
      <c r="D151" s="8">
        <f>Table145[[#This Row],[distance]]/$A$179</f>
        <v>0.84180790960451979</v>
      </c>
      <c r="E151" s="8">
        <f t="shared" si="6"/>
        <v>17.981016949152544</v>
      </c>
      <c r="F151" s="8">
        <f t="shared" si="8"/>
        <v>599.73883932203398</v>
      </c>
      <c r="G151" s="8">
        <f t="shared" si="7"/>
        <v>0.59973883932203398</v>
      </c>
    </row>
    <row r="152" spans="1:7" x14ac:dyDescent="0.25">
      <c r="A152" s="1">
        <v>150000</v>
      </c>
      <c r="B152" s="2">
        <v>63</v>
      </c>
      <c r="C152" s="2">
        <f>Table145[[#This Row],[Elev_CEM1]]-B167</f>
        <v>11</v>
      </c>
      <c r="D152" s="8">
        <f>Table145[[#This Row],[distance]]/$A$179</f>
        <v>0.84745762711864403</v>
      </c>
      <c r="E152" s="8">
        <f t="shared" si="6"/>
        <v>18.101694915254235</v>
      </c>
      <c r="F152" s="8">
        <f t="shared" si="8"/>
        <v>452.82294915254232</v>
      </c>
      <c r="G152" s="8">
        <f t="shared" si="7"/>
        <v>0.45282294915254234</v>
      </c>
    </row>
    <row r="153" spans="1:7" x14ac:dyDescent="0.25">
      <c r="A153" s="1">
        <v>151000</v>
      </c>
      <c r="B153" s="2">
        <v>54</v>
      </c>
      <c r="C153" s="2">
        <f>Table145[[#This Row],[Elev_CEM1]]-B168</f>
        <v>5</v>
      </c>
      <c r="D153" s="8">
        <f>Table145[[#This Row],[distance]]/$A$179</f>
        <v>0.85310734463276838</v>
      </c>
      <c r="E153" s="8">
        <f t="shared" si="6"/>
        <v>18.22237288135593</v>
      </c>
      <c r="F153" s="8">
        <f t="shared" si="8"/>
        <v>1823.3670752542373</v>
      </c>
      <c r="G153" s="8">
        <f t="shared" si="7"/>
        <v>1.8233670752542372</v>
      </c>
    </row>
    <row r="154" spans="1:7" x14ac:dyDescent="0.25">
      <c r="A154" s="1">
        <v>152000</v>
      </c>
      <c r="B154" s="2">
        <v>57</v>
      </c>
      <c r="C154" s="2">
        <f>Table145[[#This Row],[Elev_CEM1]]-B169</f>
        <v>11</v>
      </c>
      <c r="D154" s="8">
        <f>Table145[[#This Row],[distance]]/$A$179</f>
        <v>0.85875706214689262</v>
      </c>
      <c r="E154" s="8">
        <f t="shared" si="6"/>
        <v>18.343050847457626</v>
      </c>
      <c r="F154" s="8">
        <f t="shared" si="8"/>
        <v>1376.5817654237289</v>
      </c>
      <c r="G154" s="8">
        <f t="shared" si="7"/>
        <v>1.3765817654237289</v>
      </c>
    </row>
    <row r="155" spans="1:7" x14ac:dyDescent="0.25">
      <c r="A155" s="1">
        <v>153000</v>
      </c>
      <c r="B155" s="2">
        <v>53</v>
      </c>
      <c r="C155" s="2">
        <f>Table145[[#This Row],[Elev_CEM1]]-B170</f>
        <v>5</v>
      </c>
      <c r="D155" s="8">
        <f>Table145[[#This Row],[distance]]/$A$179</f>
        <v>0.86440677966101698</v>
      </c>
      <c r="E155" s="8">
        <f t="shared" si="6"/>
        <v>18.463728813559321</v>
      </c>
      <c r="F155" s="8">
        <f t="shared" si="8"/>
        <v>1385.6382244067795</v>
      </c>
      <c r="G155" s="8">
        <f t="shared" si="7"/>
        <v>1.3856382244067795</v>
      </c>
    </row>
    <row r="156" spans="1:7" x14ac:dyDescent="0.25">
      <c r="A156" s="1">
        <v>154000</v>
      </c>
      <c r="B156" s="2">
        <v>49</v>
      </c>
      <c r="C156" s="2">
        <f>Table145[[#This Row],[Elev_CEM1]]-B171</f>
        <v>-8</v>
      </c>
      <c r="D156" s="8">
        <f>Table145[[#This Row],[distance]]/$A$179</f>
        <v>0.87005649717514122</v>
      </c>
      <c r="E156" s="8">
        <f t="shared" si="6"/>
        <v>18.584406779661016</v>
      </c>
      <c r="F156" s="8">
        <f t="shared" si="8"/>
        <v>3254.2875945762712</v>
      </c>
      <c r="G156" s="8">
        <f t="shared" si="7"/>
        <v>3.254287594576271</v>
      </c>
    </row>
    <row r="157" spans="1:7" x14ac:dyDescent="0.25">
      <c r="A157" s="1">
        <v>155000</v>
      </c>
      <c r="B157" s="2">
        <v>54</v>
      </c>
      <c r="C157" s="2">
        <f>Table145[[#This Row],[Elev_CEM1]]-B172</f>
        <v>5</v>
      </c>
      <c r="D157" s="8">
        <f>Table145[[#This Row],[distance]]/$A$179</f>
        <v>0.87570621468926557</v>
      </c>
      <c r="E157" s="8">
        <f t="shared" si="6"/>
        <v>18.705084745762711</v>
      </c>
      <c r="F157" s="8">
        <f t="shared" si="8"/>
        <v>1559.7234915254235</v>
      </c>
      <c r="G157" s="8">
        <f t="shared" si="7"/>
        <v>1.5597234915254234</v>
      </c>
    </row>
    <row r="158" spans="1:7" x14ac:dyDescent="0.25">
      <c r="A158" s="1">
        <v>156000</v>
      </c>
      <c r="B158" s="2">
        <v>55</v>
      </c>
      <c r="C158" s="2">
        <f>Table145[[#This Row],[Elev_CEM1]]-B173</f>
        <v>3</v>
      </c>
      <c r="D158" s="8">
        <f>Table145[[#This Row],[distance]]/$A$179</f>
        <v>0.88135593220338981</v>
      </c>
      <c r="E158" s="8">
        <f t="shared" si="6"/>
        <v>18.825762711864407</v>
      </c>
      <c r="F158" s="8">
        <f t="shared" si="8"/>
        <v>2825.6152027118642</v>
      </c>
      <c r="G158" s="8">
        <f t="shared" si="7"/>
        <v>2.8256152027118642</v>
      </c>
    </row>
    <row r="159" spans="1:7" x14ac:dyDescent="0.25">
      <c r="A159" s="1">
        <v>157000</v>
      </c>
      <c r="B159" s="2">
        <v>50</v>
      </c>
      <c r="C159" s="2">
        <f>Table145[[#This Row],[Elev_CEM1]]-B174</f>
        <v>-2</v>
      </c>
      <c r="D159" s="8">
        <f>Table145[[#This Row],[distance]]/$A$179</f>
        <v>0.88700564971751417</v>
      </c>
      <c r="E159" s="8">
        <f t="shared" si="6"/>
        <v>18.946440677966102</v>
      </c>
      <c r="F159" s="8">
        <f t="shared" si="8"/>
        <v>2053.8036427118645</v>
      </c>
      <c r="G159" s="8">
        <f t="shared" si="7"/>
        <v>2.0538036427118644</v>
      </c>
    </row>
    <row r="160" spans="1:7" x14ac:dyDescent="0.25">
      <c r="A160" s="1">
        <v>158000</v>
      </c>
      <c r="B160" s="2">
        <v>51</v>
      </c>
      <c r="C160" s="2">
        <f>Table145[[#This Row],[Elev_CEM1]]-B175</f>
        <v>-3</v>
      </c>
      <c r="D160" s="8">
        <f>Table145[[#This Row],[distance]]/$A$179</f>
        <v>0.89265536723163841</v>
      </c>
      <c r="E160" s="8">
        <f t="shared" si="6"/>
        <v>19.067118644067797</v>
      </c>
      <c r="F160" s="8">
        <f t="shared" si="8"/>
        <v>2702.8498698305084</v>
      </c>
      <c r="G160" s="8">
        <f t="shared" si="7"/>
        <v>2.7028498698305086</v>
      </c>
    </row>
    <row r="161" spans="1:7" x14ac:dyDescent="0.25">
      <c r="A161" s="1">
        <v>159000</v>
      </c>
      <c r="B161" s="2">
        <v>55</v>
      </c>
      <c r="C161" s="2">
        <f>Table145[[#This Row],[Elev_CEM1]]-B176</f>
        <v>3</v>
      </c>
      <c r="D161" s="8">
        <f>Table145[[#This Row],[distance]]/$A$179</f>
        <v>0.89830508474576276</v>
      </c>
      <c r="E161" s="8">
        <f t="shared" si="6"/>
        <v>19.187796610169492</v>
      </c>
      <c r="F161" s="8">
        <f t="shared" si="8"/>
        <v>-159.9974420338983</v>
      </c>
      <c r="G161" s="8">
        <f t="shared" si="7"/>
        <v>-0.15999744203389829</v>
      </c>
    </row>
    <row r="162" spans="1:7" x14ac:dyDescent="0.25">
      <c r="A162" s="1">
        <v>160000</v>
      </c>
      <c r="B162" s="2">
        <v>61</v>
      </c>
      <c r="C162" s="2">
        <f>Table145[[#This Row],[Elev_CEM1]]-B177</f>
        <v>12</v>
      </c>
      <c r="D162" s="8">
        <f>Table145[[#This Row],[distance]]/$A$179</f>
        <v>0.903954802259887</v>
      </c>
      <c r="E162" s="8">
        <f t="shared" si="6"/>
        <v>19.308474576271188</v>
      </c>
      <c r="F162" s="8">
        <f t="shared" si="8"/>
        <v>644.01486101694923</v>
      </c>
      <c r="G162" s="8">
        <f t="shared" si="7"/>
        <v>0.64401486101694927</v>
      </c>
    </row>
    <row r="163" spans="1:7" x14ac:dyDescent="0.25">
      <c r="A163" s="1">
        <v>161000</v>
      </c>
      <c r="B163" s="2">
        <v>62</v>
      </c>
      <c r="C163" s="2">
        <f>Table145[[#This Row],[Elev_CEM1]]-B178</f>
        <v>9</v>
      </c>
      <c r="D163" s="8">
        <f>Table145[[#This Row],[distance]]/$A$179</f>
        <v>0.90960451977401124</v>
      </c>
      <c r="E163" s="8">
        <f t="shared" si="6"/>
        <v>19.429152542372879</v>
      </c>
      <c r="F163" s="8">
        <f t="shared" si="8"/>
        <v>0</v>
      </c>
      <c r="G163" s="8">
        <f t="shared" si="7"/>
        <v>0</v>
      </c>
    </row>
    <row r="164" spans="1:7" x14ac:dyDescent="0.25">
      <c r="A164" s="1">
        <v>162000</v>
      </c>
      <c r="B164" s="2">
        <v>54</v>
      </c>
      <c r="C164" s="2">
        <f>Table145[[#This Row],[Elev_CEM1]]-B179</f>
        <v>0</v>
      </c>
      <c r="D164" s="8">
        <f>Table145[[#This Row],[distance]]/$A$179</f>
        <v>0.9152542372881356</v>
      </c>
      <c r="E164" s="8">
        <f t="shared" si="6"/>
        <v>19.549830508474574</v>
      </c>
      <c r="F164" s="8">
        <f t="shared" si="8"/>
        <v>1304.1300935593219</v>
      </c>
      <c r="G164" s="8">
        <f t="shared" si="7"/>
        <v>1.3041300935593219</v>
      </c>
    </row>
    <row r="165" spans="1:7" x14ac:dyDescent="0.25">
      <c r="A165" s="1">
        <v>163000</v>
      </c>
      <c r="B165" s="2">
        <v>54</v>
      </c>
      <c r="C165" s="2">
        <f>Table145[[#This Row],[Elev_CEM1]]-B180</f>
        <v>54</v>
      </c>
      <c r="D165" s="8">
        <f>Table145[[#This Row],[distance]]/$A$179</f>
        <v>0.92090395480225984</v>
      </c>
      <c r="E165" s="8">
        <f t="shared" si="6"/>
        <v>19.67050847457627</v>
      </c>
      <c r="F165" s="8">
        <f t="shared" si="8"/>
        <v>1804.2478840677963</v>
      </c>
      <c r="G165" s="8">
        <f t="shared" si="7"/>
        <v>1.8042478840677965</v>
      </c>
    </row>
    <row r="166" spans="1:7" x14ac:dyDescent="0.25">
      <c r="A166" s="1">
        <v>164000</v>
      </c>
      <c r="B166" s="2">
        <v>56</v>
      </c>
      <c r="C166" s="2">
        <f>Table145[[#This Row],[Elev_CEM1]]-B181</f>
        <v>56</v>
      </c>
      <c r="D166" s="8">
        <f>Table145[[#This Row],[distance]]/$A$179</f>
        <v>0.92655367231638419</v>
      </c>
      <c r="E166" s="8">
        <f t="shared" si="6"/>
        <v>19.791186440677965</v>
      </c>
      <c r="F166" s="8">
        <f t="shared" si="8"/>
        <v>1485.2592732203386</v>
      </c>
      <c r="G166" s="8">
        <f t="shared" si="7"/>
        <v>1.4852592732203387</v>
      </c>
    </row>
    <row r="167" spans="1:7" x14ac:dyDescent="0.25">
      <c r="A167" s="1">
        <v>165000</v>
      </c>
      <c r="B167" s="2">
        <v>52</v>
      </c>
      <c r="C167" s="2">
        <f>Table145[[#This Row],[Elev_CEM1]]-B182</f>
        <v>52</v>
      </c>
      <c r="D167" s="8">
        <f>Table145[[#This Row],[distance]]/$A$179</f>
        <v>0.93220338983050843</v>
      </c>
      <c r="E167" s="8">
        <f t="shared" si="6"/>
        <v>19.91186440677966</v>
      </c>
      <c r="F167" s="8">
        <f t="shared" si="8"/>
        <v>1826.3858949152543</v>
      </c>
      <c r="G167" s="8">
        <f t="shared" si="7"/>
        <v>1.8263858949152543</v>
      </c>
    </row>
    <row r="168" spans="1:7" x14ac:dyDescent="0.25">
      <c r="A168" s="1">
        <v>166000</v>
      </c>
      <c r="B168" s="2">
        <v>49</v>
      </c>
      <c r="C168" s="2">
        <f>Table145[[#This Row],[Elev_CEM1]]-B183</f>
        <v>49</v>
      </c>
      <c r="D168" s="8">
        <f>Table145[[#This Row],[distance]]/$A$179</f>
        <v>0.93785310734463279</v>
      </c>
      <c r="E168" s="8">
        <f t="shared" si="6"/>
        <v>20.032542372881355</v>
      </c>
      <c r="F168" s="8">
        <f t="shared" si="8"/>
        <v>835.20677288135585</v>
      </c>
      <c r="G168" s="8">
        <f t="shared" si="7"/>
        <v>0.83520677288135581</v>
      </c>
    </row>
    <row r="169" spans="1:7" x14ac:dyDescent="0.25">
      <c r="A169" s="1">
        <v>167000</v>
      </c>
      <c r="B169" s="2">
        <v>46</v>
      </c>
      <c r="C169" s="2">
        <f>Table145[[#This Row],[Elev_CEM1]]-B184</f>
        <v>46</v>
      </c>
      <c r="D169" s="8">
        <f>Table145[[#This Row],[distance]]/$A$179</f>
        <v>0.94350282485875703</v>
      </c>
      <c r="E169" s="8">
        <f t="shared" si="6"/>
        <v>20.153220338983051</v>
      </c>
      <c r="F169" s="8">
        <f t="shared" si="8"/>
        <v>1848.523905762712</v>
      </c>
      <c r="G169" s="8">
        <f t="shared" si="7"/>
        <v>1.8485239057627121</v>
      </c>
    </row>
    <row r="170" spans="1:7" x14ac:dyDescent="0.25">
      <c r="A170" s="1">
        <v>168000</v>
      </c>
      <c r="B170" s="2">
        <v>48</v>
      </c>
      <c r="C170" s="2">
        <f>Table145[[#This Row],[Elev_CEM1]]-B185</f>
        <v>48</v>
      </c>
      <c r="D170" s="8">
        <f>Table145[[#This Row],[distance]]/$A$179</f>
        <v>0.94915254237288138</v>
      </c>
      <c r="E170" s="8">
        <f t="shared" si="6"/>
        <v>20.273898305084746</v>
      </c>
      <c r="F170" s="8">
        <f t="shared" si="8"/>
        <v>845.26950508474567</v>
      </c>
      <c r="G170" s="8">
        <f t="shared" si="7"/>
        <v>0.84526950508474563</v>
      </c>
    </row>
    <row r="171" spans="1:7" x14ac:dyDescent="0.25">
      <c r="A171" s="1">
        <v>169000</v>
      </c>
      <c r="B171" s="2">
        <v>57</v>
      </c>
      <c r="C171" s="2">
        <f>Table145[[#This Row],[Elev_CEM1]]-B186</f>
        <v>57</v>
      </c>
      <c r="D171" s="8">
        <f>Table145[[#This Row],[distance]]/$A$179</f>
        <v>0.95480225988700562</v>
      </c>
      <c r="E171" s="8">
        <f t="shared" si="6"/>
        <v>20.394576271186441</v>
      </c>
      <c r="F171" s="8">
        <f t="shared" si="8"/>
        <v>-1360.481393898305</v>
      </c>
      <c r="G171" s="8">
        <f t="shared" si="7"/>
        <v>-1.3604813938983049</v>
      </c>
    </row>
    <row r="172" spans="1:7" x14ac:dyDescent="0.25">
      <c r="A172" s="1">
        <v>170000</v>
      </c>
      <c r="B172" s="2">
        <v>49</v>
      </c>
      <c r="C172" s="2">
        <f>Table145[[#This Row],[Elev_CEM1]]-B187</f>
        <v>49</v>
      </c>
      <c r="D172" s="8">
        <f>Table145[[#This Row],[distance]]/$A$179</f>
        <v>0.96045197740112997</v>
      </c>
      <c r="E172" s="8">
        <f t="shared" si="6"/>
        <v>20.515254237288136</v>
      </c>
      <c r="F172" s="8">
        <f t="shared" si="8"/>
        <v>855.33223728813573</v>
      </c>
      <c r="G172" s="8">
        <f t="shared" si="7"/>
        <v>0.85533223728813568</v>
      </c>
    </row>
    <row r="173" spans="1:7" x14ac:dyDescent="0.25">
      <c r="A173" s="1">
        <v>171000</v>
      </c>
      <c r="B173" s="2">
        <v>52</v>
      </c>
      <c r="C173" s="2">
        <f>Table145[[#This Row],[Elev_CEM1]]-B188</f>
        <v>52</v>
      </c>
      <c r="D173" s="8">
        <f>Table145[[#This Row],[distance]]/$A$179</f>
        <v>0.96610169491525422</v>
      </c>
      <c r="E173" s="8">
        <f t="shared" si="6"/>
        <v>20.635932203389828</v>
      </c>
      <c r="F173" s="8">
        <f t="shared" si="8"/>
        <v>516.21816203389824</v>
      </c>
      <c r="G173" s="8">
        <f t="shared" si="7"/>
        <v>0.51621816203389825</v>
      </c>
    </row>
    <row r="174" spans="1:7" x14ac:dyDescent="0.25">
      <c r="A174" s="1">
        <v>172000</v>
      </c>
      <c r="B174" s="2">
        <v>52</v>
      </c>
      <c r="C174" s="2">
        <f>Table145[[#This Row],[Elev_CEM1]]-B189</f>
        <v>52</v>
      </c>
      <c r="D174" s="8">
        <f>Table145[[#This Row],[distance]]/$A$179</f>
        <v>0.97175141242937857</v>
      </c>
      <c r="E174" s="8">
        <f t="shared" si="6"/>
        <v>20.756610169491527</v>
      </c>
      <c r="F174" s="8">
        <f t="shared" si="8"/>
        <v>-346.15798779661014</v>
      </c>
      <c r="G174" s="8">
        <f t="shared" si="7"/>
        <v>-0.34615798779661017</v>
      </c>
    </row>
    <row r="175" spans="1:7" x14ac:dyDescent="0.25">
      <c r="A175" s="1">
        <v>173000</v>
      </c>
      <c r="B175" s="2">
        <v>54</v>
      </c>
      <c r="C175" s="2">
        <f>Table145[[#This Row],[Elev_CEM1]]-B190</f>
        <v>54</v>
      </c>
      <c r="D175" s="8">
        <f>Table145[[#This Row],[distance]]/$A$179</f>
        <v>0.97740112994350281</v>
      </c>
      <c r="E175" s="8">
        <f t="shared" si="6"/>
        <v>20.877288135593218</v>
      </c>
      <c r="F175" s="8">
        <f t="shared" si="8"/>
        <v>-522.25580135593225</v>
      </c>
      <c r="G175" s="8">
        <f t="shared" si="7"/>
        <v>-0.5222558013559323</v>
      </c>
    </row>
    <row r="176" spans="1:7" x14ac:dyDescent="0.25">
      <c r="A176" s="1">
        <v>174000</v>
      </c>
      <c r="B176" s="2">
        <v>52</v>
      </c>
      <c r="C176" s="2">
        <f>Table145[[#This Row],[Elev_CEM1]]-B191</f>
        <v>52</v>
      </c>
      <c r="D176" s="8">
        <f>Table145[[#This Row],[distance]]/$A$179</f>
        <v>0.98305084745762716</v>
      </c>
      <c r="E176" s="8">
        <f t="shared" si="6"/>
        <v>20.997966101694917</v>
      </c>
      <c r="F176" s="8">
        <f t="shared" si="8"/>
        <v>525.27462101694914</v>
      </c>
      <c r="G176" s="8">
        <f t="shared" si="7"/>
        <v>0.52527462101694911</v>
      </c>
    </row>
    <row r="177" spans="1:7" x14ac:dyDescent="0.25">
      <c r="A177" s="1">
        <v>175000</v>
      </c>
      <c r="B177" s="2">
        <v>49</v>
      </c>
      <c r="C177" s="2">
        <f>Table145[[#This Row],[Elev_CEM1]]-B192</f>
        <v>49</v>
      </c>
      <c r="D177" s="8">
        <f>Table145[[#This Row],[distance]]/$A$179</f>
        <v>0.98870056497175141</v>
      </c>
      <c r="E177" s="8">
        <f t="shared" si="6"/>
        <v>21.118644067796609</v>
      </c>
      <c r="F177" s="8">
        <f t="shared" si="8"/>
        <v>2113.1737627118646</v>
      </c>
      <c r="G177" s="8">
        <f t="shared" si="7"/>
        <v>2.1131737627118645</v>
      </c>
    </row>
    <row r="178" spans="1:7" x14ac:dyDescent="0.25">
      <c r="A178" s="1">
        <v>176000</v>
      </c>
      <c r="B178" s="2">
        <v>53</v>
      </c>
      <c r="C178" s="2">
        <f>Table145[[#This Row],[Elev_CEM1]]-B193</f>
        <v>53</v>
      </c>
      <c r="D178" s="8">
        <f>Table145[[#This Row],[distance]]/$A$179</f>
        <v>0.99435028248587576</v>
      </c>
      <c r="E178" s="8">
        <f t="shared" si="6"/>
        <v>21.239322033898304</v>
      </c>
      <c r="F178" s="8">
        <f t="shared" si="8"/>
        <v>1593.9367810169488</v>
      </c>
      <c r="G178" s="8">
        <f t="shared" si="7"/>
        <v>1.5939367810169487</v>
      </c>
    </row>
    <row r="179" spans="1:7" x14ac:dyDescent="0.25">
      <c r="A179" s="1">
        <v>177000</v>
      </c>
      <c r="B179" s="2">
        <v>54</v>
      </c>
      <c r="C179" s="2">
        <f>Table145[[#This Row],[Elev_CEM1]]-B194</f>
        <v>54</v>
      </c>
      <c r="D179" s="8">
        <f>Table145[[#This Row],[distance]]/$A$179</f>
        <v>1</v>
      </c>
      <c r="E179" s="8">
        <f t="shared" si="6"/>
        <v>21.36</v>
      </c>
      <c r="F179" s="8">
        <f t="shared" si="8"/>
        <v>0</v>
      </c>
      <c r="G179" s="8">
        <f t="shared" si="7"/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75377-3D74-4188-894A-953BC3FC1DF6}">
  <dimension ref="A1:G179"/>
  <sheetViews>
    <sheetView topLeftCell="A7" workbookViewId="0">
      <selection activeCell="F26" sqref="F26"/>
    </sheetView>
  </sheetViews>
  <sheetFormatPr baseColWidth="10" defaultRowHeight="15" x14ac:dyDescent="0.25"/>
  <cols>
    <col min="1" max="1" width="22.42578125" style="8" customWidth="1"/>
    <col min="2" max="16384" width="11.42578125" style="8"/>
  </cols>
  <sheetData>
    <row r="1" spans="1:7" x14ac:dyDescent="0.25">
      <c r="A1" s="1" t="s">
        <v>0</v>
      </c>
      <c r="B1" s="2" t="s">
        <v>1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</row>
    <row r="2" spans="1:7" x14ac:dyDescent="0.25">
      <c r="A2" s="1">
        <v>0</v>
      </c>
      <c r="B2" s="2">
        <v>1606</v>
      </c>
      <c r="C2" s="2">
        <f>Table1456[[#This Row],[Elev_CEM1]]-B7</f>
        <v>407</v>
      </c>
      <c r="D2" s="8">
        <f>Table1456[[#This Row],[distance]]/$A$179</f>
        <v>0</v>
      </c>
      <c r="E2" s="8">
        <f t="shared" ref="E2:E65" si="0">21.36*D2</f>
        <v>0</v>
      </c>
    </row>
    <row r="3" spans="1:7" x14ac:dyDescent="0.25">
      <c r="A3" s="1">
        <v>1000</v>
      </c>
      <c r="B3" s="2">
        <v>1500</v>
      </c>
      <c r="C3" s="2">
        <f>Table1456[[#This Row],[Elev_CEM1]]-B8</f>
        <v>367</v>
      </c>
      <c r="D3" s="8">
        <f>Table1456[[#This Row],[distance]]/$A$179</f>
        <v>5.6497175141242938E-3</v>
      </c>
      <c r="E3" s="8">
        <f t="shared" si="0"/>
        <v>0.12067796610169491</v>
      </c>
    </row>
    <row r="4" spans="1:7" x14ac:dyDescent="0.25">
      <c r="A4" s="1">
        <v>2000</v>
      </c>
      <c r="B4" s="2">
        <v>1440</v>
      </c>
      <c r="C4" s="2">
        <f>Table1456[[#This Row],[Elev_CEM1]]-B9</f>
        <v>384</v>
      </c>
      <c r="D4" s="8">
        <f>Table1456[[#This Row],[distance]]/$A$179</f>
        <v>1.1299435028248588E-2</v>
      </c>
      <c r="E4" s="8">
        <f t="shared" si="0"/>
        <v>0.24135593220338983</v>
      </c>
    </row>
    <row r="5" spans="1:7" x14ac:dyDescent="0.25">
      <c r="A5" s="1">
        <v>3000</v>
      </c>
      <c r="B5" s="2">
        <v>1336</v>
      </c>
      <c r="C5" s="2">
        <f>Table1456[[#This Row],[Elev_CEM1]]-B10</f>
        <v>339</v>
      </c>
      <c r="D5" s="8">
        <f>Table1456[[#This Row],[distance]]/$A$179</f>
        <v>1.6949152542372881E-2</v>
      </c>
      <c r="E5" s="8">
        <f t="shared" si="0"/>
        <v>0.36203389830508476</v>
      </c>
    </row>
    <row r="6" spans="1:7" x14ac:dyDescent="0.25">
      <c r="A6" s="1">
        <v>4000</v>
      </c>
      <c r="B6" s="2">
        <v>1257</v>
      </c>
      <c r="C6" s="2">
        <f>Table1456[[#This Row],[Elev_CEM1]]-B11</f>
        <v>301</v>
      </c>
      <c r="D6" s="8">
        <f>Table1456[[#This Row],[distance]]/$A$179</f>
        <v>2.2598870056497175E-2</v>
      </c>
      <c r="E6" s="8">
        <f t="shared" si="0"/>
        <v>0.48271186440677966</v>
      </c>
    </row>
    <row r="7" spans="1:7" x14ac:dyDescent="0.25">
      <c r="A7" s="1">
        <v>5000</v>
      </c>
      <c r="B7" s="2">
        <v>1199</v>
      </c>
      <c r="C7" s="2">
        <f>Table1456[[#This Row],[Elev_CEM1]]-B12</f>
        <v>292</v>
      </c>
      <c r="D7" s="8">
        <f>Table1456[[#This Row],[distance]]/$A$179</f>
        <v>2.8248587570621469E-2</v>
      </c>
      <c r="E7" s="8">
        <f t="shared" si="0"/>
        <v>0.60338983050847461</v>
      </c>
      <c r="F7" s="8">
        <f>(1000*E7*C2*0.85*9.81)/1000</f>
        <v>2047.7660033898308</v>
      </c>
      <c r="G7" s="8">
        <f>F7/10000</f>
        <v>0.20477660033898307</v>
      </c>
    </row>
    <row r="8" spans="1:7" x14ac:dyDescent="0.25">
      <c r="A8" s="1">
        <v>6000</v>
      </c>
      <c r="B8" s="2">
        <v>1133</v>
      </c>
      <c r="C8" s="2">
        <f>Table1456[[#This Row],[Elev_CEM1]]-B13</f>
        <v>264</v>
      </c>
      <c r="D8" s="8">
        <f>Table1456[[#This Row],[distance]]/$A$179</f>
        <v>3.3898305084745763E-2</v>
      </c>
      <c r="E8" s="8">
        <f t="shared" si="0"/>
        <v>0.72406779661016951</v>
      </c>
      <c r="F8" s="8">
        <f t="shared" ref="F8:F71" si="1">(1000*E8*C3*0.85*9.81)/1000</f>
        <v>2215.8136311864405</v>
      </c>
      <c r="G8" s="8">
        <f t="shared" ref="G8:G71" si="2">F8/10000</f>
        <v>0.22158136311864404</v>
      </c>
    </row>
    <row r="9" spans="1:7" x14ac:dyDescent="0.25">
      <c r="A9" s="1">
        <v>7000</v>
      </c>
      <c r="B9" s="2">
        <v>1056</v>
      </c>
      <c r="C9" s="2">
        <f>Table1456[[#This Row],[Elev_CEM1]]-B14</f>
        <v>213</v>
      </c>
      <c r="D9" s="8">
        <f>Table1456[[#This Row],[distance]]/$A$179</f>
        <v>3.954802259887006E-2</v>
      </c>
      <c r="E9" s="8">
        <f t="shared" si="0"/>
        <v>0.84474576271186441</v>
      </c>
      <c r="F9" s="8">
        <f t="shared" si="1"/>
        <v>2704.8624162711862</v>
      </c>
      <c r="G9" s="8">
        <f t="shared" si="2"/>
        <v>0.27048624162711865</v>
      </c>
    </row>
    <row r="10" spans="1:7" x14ac:dyDescent="0.25">
      <c r="A10" s="1">
        <v>8000</v>
      </c>
      <c r="B10" s="2">
        <v>997</v>
      </c>
      <c r="C10" s="2">
        <f>Table1456[[#This Row],[Elev_CEM1]]-B15</f>
        <v>162</v>
      </c>
      <c r="D10" s="8">
        <f>Table1456[[#This Row],[distance]]/$A$179</f>
        <v>4.519774011299435E-2</v>
      </c>
      <c r="E10" s="8">
        <f t="shared" si="0"/>
        <v>0.96542372881355931</v>
      </c>
      <c r="F10" s="8">
        <f t="shared" si="1"/>
        <v>2729.0129735593223</v>
      </c>
      <c r="G10" s="8">
        <f t="shared" si="2"/>
        <v>0.27290129735593222</v>
      </c>
    </row>
    <row r="11" spans="1:7" x14ac:dyDescent="0.25">
      <c r="A11" s="1">
        <v>9000</v>
      </c>
      <c r="B11" s="2">
        <v>956</v>
      </c>
      <c r="C11" s="2">
        <f>Table1456[[#This Row],[Elev_CEM1]]-B16</f>
        <v>145</v>
      </c>
      <c r="D11" s="8">
        <f>Table1456[[#This Row],[distance]]/$A$179</f>
        <v>5.0847457627118647E-2</v>
      </c>
      <c r="E11" s="8">
        <f t="shared" si="0"/>
        <v>1.0861016949152542</v>
      </c>
      <c r="F11" s="8">
        <f t="shared" si="1"/>
        <v>2725.9941538983057</v>
      </c>
      <c r="G11" s="8">
        <f t="shared" si="2"/>
        <v>0.27259941538983057</v>
      </c>
    </row>
    <row r="12" spans="1:7" x14ac:dyDescent="0.25">
      <c r="A12" s="1">
        <v>10000</v>
      </c>
      <c r="B12" s="2">
        <v>907</v>
      </c>
      <c r="C12" s="2">
        <f>Table1456[[#This Row],[Elev_CEM1]]-B17</f>
        <v>140</v>
      </c>
      <c r="D12" s="8">
        <f>Table1456[[#This Row],[distance]]/$A$179</f>
        <v>5.6497175141242938E-2</v>
      </c>
      <c r="E12" s="8">
        <f t="shared" si="0"/>
        <v>1.2067796610169492</v>
      </c>
      <c r="F12" s="8">
        <f t="shared" si="1"/>
        <v>2938.3178033898307</v>
      </c>
      <c r="G12" s="8">
        <f t="shared" si="2"/>
        <v>0.29383178033898305</v>
      </c>
    </row>
    <row r="13" spans="1:7" x14ac:dyDescent="0.25">
      <c r="A13" s="1">
        <v>11000</v>
      </c>
      <c r="B13" s="2">
        <v>869</v>
      </c>
      <c r="C13" s="2">
        <f>Table1456[[#This Row],[Elev_CEM1]]-B18</f>
        <v>122</v>
      </c>
      <c r="D13" s="8">
        <f>Table1456[[#This Row],[distance]]/$A$179</f>
        <v>6.2146892655367235E-2</v>
      </c>
      <c r="E13" s="8">
        <f t="shared" si="0"/>
        <v>1.327457627118644</v>
      </c>
      <c r="F13" s="8">
        <f t="shared" si="1"/>
        <v>2922.217431864407</v>
      </c>
      <c r="G13" s="8">
        <f t="shared" si="2"/>
        <v>0.29222174318644067</v>
      </c>
    </row>
    <row r="14" spans="1:7" x14ac:dyDescent="0.25">
      <c r="A14" s="1">
        <v>12000</v>
      </c>
      <c r="B14" s="2">
        <v>843</v>
      </c>
      <c r="C14" s="2">
        <f>Table1456[[#This Row],[Elev_CEM1]]-B19</f>
        <v>112</v>
      </c>
      <c r="D14" s="8">
        <f>Table1456[[#This Row],[distance]]/$A$179</f>
        <v>6.7796610169491525E-2</v>
      </c>
      <c r="E14" s="8">
        <f t="shared" si="0"/>
        <v>1.448135593220339</v>
      </c>
      <c r="F14" s="8">
        <f t="shared" si="1"/>
        <v>2572.0343511864407</v>
      </c>
      <c r="G14" s="8">
        <f t="shared" si="2"/>
        <v>0.25720343511864407</v>
      </c>
    </row>
    <row r="15" spans="1:7" x14ac:dyDescent="0.25">
      <c r="A15" s="1">
        <v>13000</v>
      </c>
      <c r="B15" s="2">
        <v>835</v>
      </c>
      <c r="C15" s="2">
        <f>Table1456[[#This Row],[Elev_CEM1]]-B20</f>
        <v>123</v>
      </c>
      <c r="D15" s="8">
        <f>Table1456[[#This Row],[distance]]/$A$179</f>
        <v>7.3446327683615822E-2</v>
      </c>
      <c r="E15" s="8">
        <f t="shared" si="0"/>
        <v>1.568813559322034</v>
      </c>
      <c r="F15" s="8">
        <f t="shared" si="1"/>
        <v>2119.2114020338986</v>
      </c>
      <c r="G15" s="8">
        <f t="shared" si="2"/>
        <v>0.21192114020338987</v>
      </c>
    </row>
    <row r="16" spans="1:7" x14ac:dyDescent="0.25">
      <c r="A16" s="1">
        <v>14000</v>
      </c>
      <c r="B16" s="2">
        <v>811</v>
      </c>
      <c r="C16" s="2">
        <f>Table1456[[#This Row],[Elev_CEM1]]-B21</f>
        <v>117</v>
      </c>
      <c r="D16" s="8">
        <f>Table1456[[#This Row],[distance]]/$A$179</f>
        <v>7.909604519774012E-2</v>
      </c>
      <c r="E16" s="8">
        <f t="shared" si="0"/>
        <v>1.6894915254237288</v>
      </c>
      <c r="F16" s="8">
        <f t="shared" si="1"/>
        <v>2042.7346372881354</v>
      </c>
      <c r="G16" s="8">
        <f t="shared" si="2"/>
        <v>0.20427346372881355</v>
      </c>
    </row>
    <row r="17" spans="1:7" x14ac:dyDescent="0.25">
      <c r="A17" s="1">
        <v>15000</v>
      </c>
      <c r="B17" s="2">
        <v>767</v>
      </c>
      <c r="C17" s="2">
        <f>Table1456[[#This Row],[Elev_CEM1]]-B22</f>
        <v>111</v>
      </c>
      <c r="D17" s="8">
        <f>Table1456[[#This Row],[distance]]/$A$179</f>
        <v>8.4745762711864403E-2</v>
      </c>
      <c r="E17" s="8">
        <f t="shared" si="0"/>
        <v>1.8101694915254236</v>
      </c>
      <c r="F17" s="8">
        <f t="shared" si="1"/>
        <v>2113.1737627118646</v>
      </c>
      <c r="G17" s="8">
        <f t="shared" si="2"/>
        <v>0.21131737627118646</v>
      </c>
    </row>
    <row r="18" spans="1:7" x14ac:dyDescent="0.25">
      <c r="A18" s="1">
        <v>16000</v>
      </c>
      <c r="B18" s="2">
        <v>747</v>
      </c>
      <c r="C18" s="2">
        <f>Table1456[[#This Row],[Elev_CEM1]]-B23</f>
        <v>118</v>
      </c>
      <c r="D18" s="8">
        <f>Table1456[[#This Row],[distance]]/$A$179</f>
        <v>9.03954802259887E-2</v>
      </c>
      <c r="E18" s="8">
        <f t="shared" si="0"/>
        <v>1.9308474576271186</v>
      </c>
      <c r="F18" s="8">
        <f t="shared" si="1"/>
        <v>1964.2453261016949</v>
      </c>
      <c r="G18" s="8">
        <f t="shared" si="2"/>
        <v>0.19642453261016948</v>
      </c>
    </row>
    <row r="19" spans="1:7" x14ac:dyDescent="0.25">
      <c r="A19" s="1">
        <v>17000</v>
      </c>
      <c r="B19" s="2">
        <v>731</v>
      </c>
      <c r="C19" s="2">
        <f>Table1456[[#This Row],[Elev_CEM1]]-B24</f>
        <v>124</v>
      </c>
      <c r="D19" s="8">
        <f>Table1456[[#This Row],[distance]]/$A$179</f>
        <v>9.6045197740112997E-2</v>
      </c>
      <c r="E19" s="8">
        <f t="shared" si="0"/>
        <v>2.0515254237288136</v>
      </c>
      <c r="F19" s="8">
        <f t="shared" si="1"/>
        <v>1915.944211525424</v>
      </c>
      <c r="G19" s="8">
        <f t="shared" si="2"/>
        <v>0.19159442115254238</v>
      </c>
    </row>
    <row r="20" spans="1:7" x14ac:dyDescent="0.25">
      <c r="A20" s="1">
        <v>18000</v>
      </c>
      <c r="B20" s="2">
        <v>712</v>
      </c>
      <c r="C20" s="2">
        <f>Table1456[[#This Row],[Elev_CEM1]]-B25</f>
        <v>124</v>
      </c>
      <c r="D20" s="8">
        <f>Table1456[[#This Row],[distance]]/$A$179</f>
        <v>0.10169491525423729</v>
      </c>
      <c r="E20" s="8">
        <f t="shared" si="0"/>
        <v>2.1722033898305084</v>
      </c>
      <c r="F20" s="8">
        <f t="shared" si="1"/>
        <v>2227.888909830509</v>
      </c>
      <c r="G20" s="8">
        <f t="shared" si="2"/>
        <v>0.22278889098305091</v>
      </c>
    </row>
    <row r="21" spans="1:7" x14ac:dyDescent="0.25">
      <c r="A21" s="1">
        <v>19000</v>
      </c>
      <c r="B21" s="2">
        <v>694</v>
      </c>
      <c r="C21" s="2">
        <f>Table1456[[#This Row],[Elev_CEM1]]-B26</f>
        <v>109</v>
      </c>
      <c r="D21" s="8">
        <f>Table1456[[#This Row],[distance]]/$A$179</f>
        <v>0.10734463276836158</v>
      </c>
      <c r="E21" s="8">
        <f t="shared" si="0"/>
        <v>2.2928813559322032</v>
      </c>
      <c r="F21" s="8">
        <f t="shared" si="1"/>
        <v>2236.9453688135595</v>
      </c>
      <c r="G21" s="8">
        <f t="shared" si="2"/>
        <v>0.22369453688135596</v>
      </c>
    </row>
    <row r="22" spans="1:7" x14ac:dyDescent="0.25">
      <c r="A22" s="1">
        <v>20000</v>
      </c>
      <c r="B22" s="2">
        <v>656</v>
      </c>
      <c r="C22" s="2">
        <f>Table1456[[#This Row],[Elev_CEM1]]-B27</f>
        <v>76</v>
      </c>
      <c r="D22" s="8">
        <f>Table1456[[#This Row],[distance]]/$A$179</f>
        <v>0.11299435028248588</v>
      </c>
      <c r="E22" s="8">
        <f t="shared" si="0"/>
        <v>2.4135593220338984</v>
      </c>
      <c r="F22" s="8">
        <f t="shared" si="1"/>
        <v>2233.9265491525425</v>
      </c>
      <c r="G22" s="8">
        <f t="shared" si="2"/>
        <v>0.22339265491525426</v>
      </c>
    </row>
    <row r="23" spans="1:7" x14ac:dyDescent="0.25">
      <c r="A23" s="1">
        <v>21000</v>
      </c>
      <c r="B23" s="2">
        <v>629</v>
      </c>
      <c r="C23" s="2">
        <f>Table1456[[#This Row],[Elev_CEM1]]-B28</f>
        <v>70</v>
      </c>
      <c r="D23" s="8">
        <f>Table1456[[#This Row],[distance]]/$A$179</f>
        <v>0.11864406779661017</v>
      </c>
      <c r="E23" s="8">
        <f t="shared" si="0"/>
        <v>2.5342372881355932</v>
      </c>
      <c r="F23" s="8">
        <f t="shared" si="1"/>
        <v>2493.54504</v>
      </c>
      <c r="G23" s="8">
        <f t="shared" si="2"/>
        <v>0.249354504</v>
      </c>
    </row>
    <row r="24" spans="1:7" x14ac:dyDescent="0.25">
      <c r="A24" s="1">
        <v>22000</v>
      </c>
      <c r="B24" s="2">
        <v>607</v>
      </c>
      <c r="C24" s="2">
        <f>Table1456[[#This Row],[Elev_CEM1]]-B29</f>
        <v>59</v>
      </c>
      <c r="D24" s="8">
        <f>Table1456[[#This Row],[distance]]/$A$179</f>
        <v>0.12429378531073447</v>
      </c>
      <c r="E24" s="8">
        <f t="shared" si="0"/>
        <v>2.654915254237288</v>
      </c>
      <c r="F24" s="8">
        <f t="shared" si="1"/>
        <v>2745.1133450847456</v>
      </c>
      <c r="G24" s="8">
        <f t="shared" si="2"/>
        <v>0.27451133450847454</v>
      </c>
    </row>
    <row r="25" spans="1:7" x14ac:dyDescent="0.25">
      <c r="A25" s="1">
        <v>23000</v>
      </c>
      <c r="B25" s="2">
        <v>588</v>
      </c>
      <c r="C25" s="2">
        <f>Table1456[[#This Row],[Elev_CEM1]]-B30</f>
        <v>59</v>
      </c>
      <c r="D25" s="8">
        <f>Table1456[[#This Row],[distance]]/$A$179</f>
        <v>0.12994350282485875</v>
      </c>
      <c r="E25" s="8">
        <f t="shared" si="0"/>
        <v>2.7755932203389828</v>
      </c>
      <c r="F25" s="8">
        <f t="shared" si="1"/>
        <v>2869.8912244067797</v>
      </c>
      <c r="G25" s="8">
        <f t="shared" si="2"/>
        <v>0.28698912244067798</v>
      </c>
    </row>
    <row r="26" spans="1:7" x14ac:dyDescent="0.25">
      <c r="A26" s="1">
        <v>24000</v>
      </c>
      <c r="B26" s="2">
        <v>585</v>
      </c>
      <c r="C26" s="2">
        <f>Table1456[[#This Row],[Elev_CEM1]]-B31</f>
        <v>74</v>
      </c>
      <c r="D26" s="8">
        <f>Table1456[[#This Row],[distance]]/$A$179</f>
        <v>0.13559322033898305</v>
      </c>
      <c r="E26" s="8">
        <f t="shared" si="0"/>
        <v>2.896271186440678</v>
      </c>
      <c r="F26" s="8">
        <f>(1000*E26*C21*0.85*9.81)/1000</f>
        <v>2632.4107444067799</v>
      </c>
      <c r="G26" s="8">
        <f t="shared" si="2"/>
        <v>0.26324107444067801</v>
      </c>
    </row>
    <row r="27" spans="1:7" x14ac:dyDescent="0.25">
      <c r="A27" s="1">
        <v>25000</v>
      </c>
      <c r="B27" s="2">
        <v>580</v>
      </c>
      <c r="C27" s="2">
        <f>Table1456[[#This Row],[Elev_CEM1]]-B32</f>
        <v>94</v>
      </c>
      <c r="D27" s="8">
        <f>Table1456[[#This Row],[distance]]/$A$179</f>
        <v>0.14124293785310735</v>
      </c>
      <c r="E27" s="8">
        <f t="shared" si="0"/>
        <v>3.0169491525423728</v>
      </c>
      <c r="F27" s="8">
        <f>(1000*E27*C22*0.85*9.81)/1000</f>
        <v>1911.9191186440678</v>
      </c>
      <c r="G27" s="8">
        <f t="shared" si="2"/>
        <v>0.19119191186440679</v>
      </c>
    </row>
    <row r="28" spans="1:7" x14ac:dyDescent="0.25">
      <c r="A28" s="1">
        <v>26000</v>
      </c>
      <c r="B28" s="2">
        <v>559</v>
      </c>
      <c r="C28" s="2">
        <f>Table1456[[#This Row],[Elev_CEM1]]-B33</f>
        <v>86</v>
      </c>
      <c r="D28" s="8">
        <f>Table1456[[#This Row],[distance]]/$A$179</f>
        <v>0.14689265536723164</v>
      </c>
      <c r="E28" s="8">
        <f t="shared" si="0"/>
        <v>3.1376271186440681</v>
      </c>
      <c r="F28" s="8">
        <f t="shared" si="1"/>
        <v>1831.4172610169494</v>
      </c>
      <c r="G28" s="8">
        <f t="shared" si="2"/>
        <v>0.18314172610169493</v>
      </c>
    </row>
    <row r="29" spans="1:7" x14ac:dyDescent="0.25">
      <c r="A29" s="1">
        <v>27000</v>
      </c>
      <c r="B29" s="2">
        <v>548</v>
      </c>
      <c r="C29" s="2">
        <f>Table1456[[#This Row],[Elev_CEM1]]-B34</f>
        <v>86</v>
      </c>
      <c r="D29" s="8">
        <f>Table1456[[#This Row],[distance]]/$A$179</f>
        <v>0.15254237288135594</v>
      </c>
      <c r="E29" s="8">
        <f t="shared" si="0"/>
        <v>3.2583050847457629</v>
      </c>
      <c r="F29" s="8">
        <f t="shared" si="1"/>
        <v>1602.9932400000005</v>
      </c>
      <c r="G29" s="8">
        <f t="shared" si="2"/>
        <v>0.16029932400000005</v>
      </c>
    </row>
    <row r="30" spans="1:7" x14ac:dyDescent="0.25">
      <c r="A30" s="1">
        <v>28000</v>
      </c>
      <c r="B30" s="2">
        <v>529</v>
      </c>
      <c r="C30" s="2">
        <f>Table1456[[#This Row],[Elev_CEM1]]-B35</f>
        <v>78</v>
      </c>
      <c r="D30" s="8">
        <f>Table1456[[#This Row],[distance]]/$A$179</f>
        <v>0.15819209039548024</v>
      </c>
      <c r="E30" s="8">
        <f t="shared" si="0"/>
        <v>3.3789830508474576</v>
      </c>
      <c r="F30" s="8">
        <f t="shared" si="1"/>
        <v>1662.3633600000001</v>
      </c>
      <c r="G30" s="8">
        <f t="shared" si="2"/>
        <v>0.16623633600000001</v>
      </c>
    </row>
    <row r="31" spans="1:7" x14ac:dyDescent="0.25">
      <c r="A31" s="1">
        <v>29000</v>
      </c>
      <c r="B31" s="2">
        <v>511</v>
      </c>
      <c r="C31" s="2">
        <f>Table1456[[#This Row],[Elev_CEM1]]-B36</f>
        <v>64</v>
      </c>
      <c r="D31" s="8">
        <f>Table1456[[#This Row],[distance]]/$A$179</f>
        <v>0.16384180790960451</v>
      </c>
      <c r="E31" s="8">
        <f t="shared" si="0"/>
        <v>3.4996610169491524</v>
      </c>
      <c r="F31" s="8">
        <f t="shared" si="1"/>
        <v>2159.4623308474575</v>
      </c>
      <c r="G31" s="8">
        <f t="shared" si="2"/>
        <v>0.21594623308474575</v>
      </c>
    </row>
    <row r="32" spans="1:7" x14ac:dyDescent="0.25">
      <c r="A32" s="1">
        <v>30000</v>
      </c>
      <c r="B32" s="2">
        <v>486</v>
      </c>
      <c r="C32" s="2">
        <f>Table1456[[#This Row],[Elev_CEM1]]-B37</f>
        <v>34</v>
      </c>
      <c r="D32" s="8">
        <f>Table1456[[#This Row],[distance]]/$A$179</f>
        <v>0.16949152542372881</v>
      </c>
      <c r="E32" s="8">
        <f t="shared" si="0"/>
        <v>3.6203389830508472</v>
      </c>
      <c r="F32" s="8">
        <f t="shared" si="1"/>
        <v>2837.6904813559322</v>
      </c>
      <c r="G32" s="8">
        <f t="shared" si="2"/>
        <v>0.28376904813559323</v>
      </c>
    </row>
    <row r="33" spans="1:7" x14ac:dyDescent="0.25">
      <c r="A33" s="1">
        <v>31000</v>
      </c>
      <c r="B33" s="2">
        <v>473</v>
      </c>
      <c r="C33" s="2">
        <f>Table1456[[#This Row],[Elev_CEM1]]-B38</f>
        <v>39</v>
      </c>
      <c r="D33" s="8">
        <f>Table1456[[#This Row],[distance]]/$A$179</f>
        <v>0.1751412429378531</v>
      </c>
      <c r="E33" s="8">
        <f t="shared" si="0"/>
        <v>3.741016949152542</v>
      </c>
      <c r="F33" s="8">
        <f t="shared" si="1"/>
        <v>2682.724405423729</v>
      </c>
      <c r="G33" s="8">
        <f t="shared" si="2"/>
        <v>0.26827244054237287</v>
      </c>
    </row>
    <row r="34" spans="1:7" x14ac:dyDescent="0.25">
      <c r="A34" s="1">
        <v>32000</v>
      </c>
      <c r="B34" s="2">
        <v>462</v>
      </c>
      <c r="C34" s="2">
        <f>Table1456[[#This Row],[Elev_CEM1]]-B39</f>
        <v>42</v>
      </c>
      <c r="D34" s="8">
        <f>Table1456[[#This Row],[distance]]/$A$179</f>
        <v>0.1807909604519774</v>
      </c>
      <c r="E34" s="8">
        <f t="shared" si="0"/>
        <v>3.8616949152542372</v>
      </c>
      <c r="F34" s="8">
        <f t="shared" si="1"/>
        <v>2769.2639023728811</v>
      </c>
      <c r="G34" s="8">
        <f t="shared" si="2"/>
        <v>0.2769263902372881</v>
      </c>
    </row>
    <row r="35" spans="1:7" x14ac:dyDescent="0.25">
      <c r="A35" s="1">
        <v>33000</v>
      </c>
      <c r="B35" s="2">
        <v>451</v>
      </c>
      <c r="C35" s="2">
        <f>Table1456[[#This Row],[Elev_CEM1]]-B40</f>
        <v>39</v>
      </c>
      <c r="D35" s="8">
        <f>Table1456[[#This Row],[distance]]/$A$179</f>
        <v>0.1864406779661017</v>
      </c>
      <c r="E35" s="8">
        <f t="shared" si="0"/>
        <v>3.982372881355932</v>
      </c>
      <c r="F35" s="8">
        <f t="shared" si="1"/>
        <v>2590.1472691525423</v>
      </c>
      <c r="G35" s="8">
        <f t="shared" si="2"/>
        <v>0.25901472691525423</v>
      </c>
    </row>
    <row r="36" spans="1:7" x14ac:dyDescent="0.25">
      <c r="A36" s="1">
        <v>34000</v>
      </c>
      <c r="B36" s="2">
        <v>447</v>
      </c>
      <c r="C36" s="2">
        <f>Table1456[[#This Row],[Elev_CEM1]]-B41</f>
        <v>54</v>
      </c>
      <c r="D36" s="8">
        <f>Table1456[[#This Row],[distance]]/$A$179</f>
        <v>0.19209039548022599</v>
      </c>
      <c r="E36" s="8">
        <f t="shared" si="0"/>
        <v>4.1030508474576273</v>
      </c>
      <c r="F36" s="8">
        <f t="shared" si="1"/>
        <v>2189.650527457627</v>
      </c>
      <c r="G36" s="8">
        <f t="shared" si="2"/>
        <v>0.21896505274576269</v>
      </c>
    </row>
    <row r="37" spans="1:7" x14ac:dyDescent="0.25">
      <c r="A37" s="1">
        <v>35000</v>
      </c>
      <c r="B37" s="2">
        <v>452</v>
      </c>
      <c r="C37" s="2">
        <f>Table1456[[#This Row],[Elev_CEM1]]-B42</f>
        <v>78</v>
      </c>
      <c r="D37" s="8">
        <f>Table1456[[#This Row],[distance]]/$A$179</f>
        <v>0.19774011299435029</v>
      </c>
      <c r="E37" s="8">
        <f t="shared" si="0"/>
        <v>4.2237288135593225</v>
      </c>
      <c r="F37" s="8">
        <f t="shared" si="1"/>
        <v>1197.4651322033901</v>
      </c>
      <c r="G37" s="8">
        <f t="shared" si="2"/>
        <v>0.11974651322033901</v>
      </c>
    </row>
    <row r="38" spans="1:7" x14ac:dyDescent="0.25">
      <c r="A38" s="1">
        <v>36000</v>
      </c>
      <c r="B38" s="2">
        <v>434</v>
      </c>
      <c r="C38" s="2">
        <f>Table1456[[#This Row],[Elev_CEM1]]-B43</f>
        <v>67</v>
      </c>
      <c r="D38" s="8">
        <f>Table1456[[#This Row],[distance]]/$A$179</f>
        <v>0.20338983050847459</v>
      </c>
      <c r="E38" s="8">
        <f t="shared" si="0"/>
        <v>4.3444067796610168</v>
      </c>
      <c r="F38" s="8">
        <f t="shared" si="1"/>
        <v>1412.8076013559323</v>
      </c>
      <c r="G38" s="8">
        <f t="shared" si="2"/>
        <v>0.14128076013559324</v>
      </c>
    </row>
    <row r="39" spans="1:7" x14ac:dyDescent="0.25">
      <c r="A39" s="1">
        <v>37000</v>
      </c>
      <c r="B39" s="2">
        <v>420</v>
      </c>
      <c r="C39" s="2">
        <f>Table1456[[#This Row],[Elev_CEM1]]-B44</f>
        <v>67</v>
      </c>
      <c r="D39" s="8">
        <f>Table1456[[#This Row],[distance]]/$A$179</f>
        <v>0.20903954802259886</v>
      </c>
      <c r="E39" s="8">
        <f t="shared" si="0"/>
        <v>4.4650847457627112</v>
      </c>
      <c r="F39" s="8">
        <f t="shared" si="1"/>
        <v>1563.7485844067796</v>
      </c>
      <c r="G39" s="8">
        <f t="shared" si="2"/>
        <v>0.15637485844067797</v>
      </c>
    </row>
    <row r="40" spans="1:7" x14ac:dyDescent="0.25">
      <c r="A40" s="1">
        <v>38000</v>
      </c>
      <c r="B40" s="2">
        <v>412</v>
      </c>
      <c r="C40" s="2">
        <f>Table1456[[#This Row],[Elev_CEM1]]-B45</f>
        <v>68</v>
      </c>
      <c r="D40" s="8">
        <f>Table1456[[#This Row],[distance]]/$A$179</f>
        <v>0.21468926553672316</v>
      </c>
      <c r="E40" s="8">
        <f t="shared" si="0"/>
        <v>4.5857627118644064</v>
      </c>
      <c r="F40" s="8">
        <f t="shared" si="1"/>
        <v>1491.2969125423726</v>
      </c>
      <c r="G40" s="8">
        <f t="shared" si="2"/>
        <v>0.14912969125423725</v>
      </c>
    </row>
    <row r="41" spans="1:7" x14ac:dyDescent="0.25">
      <c r="A41" s="1">
        <v>39000</v>
      </c>
      <c r="B41" s="2">
        <v>393</v>
      </c>
      <c r="C41" s="2">
        <f>Table1456[[#This Row],[Elev_CEM1]]-B46</f>
        <v>66</v>
      </c>
      <c r="D41" s="8">
        <f>Table1456[[#This Row],[distance]]/$A$179</f>
        <v>0.22033898305084745</v>
      </c>
      <c r="E41" s="8">
        <f t="shared" si="0"/>
        <v>4.7064406779661017</v>
      </c>
      <c r="F41" s="8">
        <f t="shared" si="1"/>
        <v>2119.2114020338981</v>
      </c>
      <c r="G41" s="8">
        <f t="shared" si="2"/>
        <v>0.21192114020338981</v>
      </c>
    </row>
    <row r="42" spans="1:7" x14ac:dyDescent="0.25">
      <c r="A42" s="1">
        <v>40000</v>
      </c>
      <c r="B42" s="2">
        <v>374</v>
      </c>
      <c r="C42" s="2">
        <f>Table1456[[#This Row],[Elev_CEM1]]-B47</f>
        <v>55</v>
      </c>
      <c r="D42" s="8">
        <f>Table1456[[#This Row],[distance]]/$A$179</f>
        <v>0.22598870056497175</v>
      </c>
      <c r="E42" s="8">
        <f t="shared" si="0"/>
        <v>4.8271186440677969</v>
      </c>
      <c r="F42" s="8">
        <f t="shared" si="1"/>
        <v>3139.5724474576273</v>
      </c>
      <c r="G42" s="8">
        <f t="shared" si="2"/>
        <v>0.31395724474576275</v>
      </c>
    </row>
    <row r="43" spans="1:7" x14ac:dyDescent="0.25">
      <c r="A43" s="1">
        <v>41000</v>
      </c>
      <c r="B43" s="2">
        <v>367</v>
      </c>
      <c r="C43" s="2">
        <f>Table1456[[#This Row],[Elev_CEM1]]-B48</f>
        <v>49</v>
      </c>
      <c r="D43" s="8">
        <f>Table1456[[#This Row],[distance]]/$A$179</f>
        <v>0.23163841807909605</v>
      </c>
      <c r="E43" s="8">
        <f t="shared" si="0"/>
        <v>4.9477966101694912</v>
      </c>
      <c r="F43" s="8">
        <f t="shared" si="1"/>
        <v>2764.2325362711867</v>
      </c>
      <c r="G43" s="8">
        <f t="shared" si="2"/>
        <v>0.27642325362711867</v>
      </c>
    </row>
    <row r="44" spans="1:7" x14ac:dyDescent="0.25">
      <c r="A44" s="1">
        <v>42000</v>
      </c>
      <c r="B44" s="2">
        <v>353</v>
      </c>
      <c r="C44" s="2">
        <f>Table1456[[#This Row],[Elev_CEM1]]-B49</f>
        <v>48</v>
      </c>
      <c r="D44" s="8">
        <f>Table1456[[#This Row],[distance]]/$A$179</f>
        <v>0.23728813559322035</v>
      </c>
      <c r="E44" s="8">
        <f t="shared" si="0"/>
        <v>5.0684745762711865</v>
      </c>
      <c r="F44" s="8">
        <f t="shared" si="1"/>
        <v>2831.6528420338982</v>
      </c>
      <c r="G44" s="8">
        <f t="shared" si="2"/>
        <v>0.28316528420338982</v>
      </c>
    </row>
    <row r="45" spans="1:7" x14ac:dyDescent="0.25">
      <c r="A45" s="1">
        <v>43000</v>
      </c>
      <c r="B45" s="2">
        <v>344</v>
      </c>
      <c r="C45" s="2">
        <f>Table1456[[#This Row],[Elev_CEM1]]-B50</f>
        <v>48</v>
      </c>
      <c r="D45" s="8">
        <f>Table1456[[#This Row],[distance]]/$A$179</f>
        <v>0.24293785310734464</v>
      </c>
      <c r="E45" s="8">
        <f t="shared" si="0"/>
        <v>5.1891525423728817</v>
      </c>
      <c r="F45" s="8">
        <f t="shared" si="1"/>
        <v>2942.3428962711864</v>
      </c>
      <c r="G45" s="8">
        <f t="shared" si="2"/>
        <v>0.29423428962711862</v>
      </c>
    </row>
    <row r="46" spans="1:7" x14ac:dyDescent="0.25">
      <c r="A46" s="1">
        <v>44000</v>
      </c>
      <c r="B46" s="2">
        <v>327</v>
      </c>
      <c r="C46" s="2">
        <f>Table1456[[#This Row],[Elev_CEM1]]-B51</f>
        <v>34</v>
      </c>
      <c r="D46" s="8">
        <f>Table1456[[#This Row],[distance]]/$A$179</f>
        <v>0.24858757062146894</v>
      </c>
      <c r="E46" s="8">
        <f t="shared" si="0"/>
        <v>5.309830508474576</v>
      </c>
      <c r="F46" s="8">
        <f t="shared" si="1"/>
        <v>2922.217431864407</v>
      </c>
      <c r="G46" s="8">
        <f t="shared" si="2"/>
        <v>0.29222174318644067</v>
      </c>
    </row>
    <row r="47" spans="1:7" x14ac:dyDescent="0.25">
      <c r="A47" s="1">
        <v>45000</v>
      </c>
      <c r="B47" s="2">
        <v>319</v>
      </c>
      <c r="C47" s="2">
        <f>Table1456[[#This Row],[Elev_CEM1]]-B52</f>
        <v>37</v>
      </c>
      <c r="D47" s="8">
        <f>Table1456[[#This Row],[distance]]/$A$179</f>
        <v>0.25423728813559321</v>
      </c>
      <c r="E47" s="8">
        <f t="shared" si="0"/>
        <v>5.4305084745762704</v>
      </c>
      <c r="F47" s="8">
        <f t="shared" si="1"/>
        <v>2490.526220338983</v>
      </c>
      <c r="G47" s="8">
        <f t="shared" si="2"/>
        <v>0.2490526220338983</v>
      </c>
    </row>
    <row r="48" spans="1:7" x14ac:dyDescent="0.25">
      <c r="A48" s="1">
        <v>46000</v>
      </c>
      <c r="B48" s="2">
        <v>318</v>
      </c>
      <c r="C48" s="2">
        <f>Table1456[[#This Row],[Elev_CEM1]]-B53</f>
        <v>41</v>
      </c>
      <c r="D48" s="8">
        <f>Table1456[[#This Row],[distance]]/$A$179</f>
        <v>0.25988700564971751</v>
      </c>
      <c r="E48" s="8">
        <f t="shared" si="0"/>
        <v>5.5511864406779656</v>
      </c>
      <c r="F48" s="8">
        <f t="shared" si="1"/>
        <v>2268.1398386440683</v>
      </c>
      <c r="G48" s="8">
        <f t="shared" si="2"/>
        <v>0.22681398386440682</v>
      </c>
    </row>
    <row r="49" spans="1:7" x14ac:dyDescent="0.25">
      <c r="A49" s="1">
        <v>47000</v>
      </c>
      <c r="B49" s="2">
        <v>305</v>
      </c>
      <c r="C49" s="2">
        <f>Table1456[[#This Row],[Elev_CEM1]]-B54</f>
        <v>33</v>
      </c>
      <c r="D49" s="8">
        <f>Table1456[[#This Row],[distance]]/$A$179</f>
        <v>0.2655367231638418</v>
      </c>
      <c r="E49" s="8">
        <f t="shared" si="0"/>
        <v>5.6718644067796609</v>
      </c>
      <c r="F49" s="8">
        <f t="shared" si="1"/>
        <v>2270.1523850847457</v>
      </c>
      <c r="G49" s="8">
        <f t="shared" si="2"/>
        <v>0.22701523850847458</v>
      </c>
    </row>
    <row r="50" spans="1:7" x14ac:dyDescent="0.25">
      <c r="A50" s="1">
        <v>48000</v>
      </c>
      <c r="B50" s="2">
        <v>296</v>
      </c>
      <c r="C50" s="2">
        <f>Table1456[[#This Row],[Elev_CEM1]]-B55</f>
        <v>33</v>
      </c>
      <c r="D50" s="8">
        <f>Table1456[[#This Row],[distance]]/$A$179</f>
        <v>0.2711864406779661</v>
      </c>
      <c r="E50" s="8">
        <f t="shared" si="0"/>
        <v>5.7925423728813561</v>
      </c>
      <c r="F50" s="8">
        <f t="shared" si="1"/>
        <v>2318.4534996610168</v>
      </c>
      <c r="G50" s="8">
        <f t="shared" si="2"/>
        <v>0.23184534996610168</v>
      </c>
    </row>
    <row r="51" spans="1:7" x14ac:dyDescent="0.25">
      <c r="A51" s="1">
        <v>49000</v>
      </c>
      <c r="B51" s="2">
        <v>293</v>
      </c>
      <c r="C51" s="2">
        <f>Table1456[[#This Row],[Elev_CEM1]]-B56</f>
        <v>33</v>
      </c>
      <c r="D51" s="8">
        <f>Table1456[[#This Row],[distance]]/$A$179</f>
        <v>0.2768361581920904</v>
      </c>
      <c r="E51" s="8">
        <f t="shared" si="0"/>
        <v>5.9132203389830504</v>
      </c>
      <c r="F51" s="8">
        <f t="shared" si="1"/>
        <v>1676.4511850847457</v>
      </c>
      <c r="G51" s="8">
        <f t="shared" si="2"/>
        <v>0.16764511850847458</v>
      </c>
    </row>
    <row r="52" spans="1:7" x14ac:dyDescent="0.25">
      <c r="A52" s="1">
        <v>50000</v>
      </c>
      <c r="B52" s="2">
        <v>282</v>
      </c>
      <c r="C52" s="2">
        <f>Table1456[[#This Row],[Elev_CEM1]]-B57</f>
        <v>31</v>
      </c>
      <c r="D52" s="8">
        <f>Table1456[[#This Row],[distance]]/$A$179</f>
        <v>0.2824858757062147</v>
      </c>
      <c r="E52" s="8">
        <f t="shared" si="0"/>
        <v>6.0338983050847457</v>
      </c>
      <c r="F52" s="8">
        <f t="shared" si="1"/>
        <v>1861.6054576271185</v>
      </c>
      <c r="G52" s="8">
        <f t="shared" si="2"/>
        <v>0.18616054576271185</v>
      </c>
    </row>
    <row r="53" spans="1:7" x14ac:dyDescent="0.25">
      <c r="A53" s="1">
        <v>51000</v>
      </c>
      <c r="B53" s="2">
        <v>277</v>
      </c>
      <c r="C53" s="2">
        <f>Table1456[[#This Row],[Elev_CEM1]]-B58</f>
        <v>25</v>
      </c>
      <c r="D53" s="8">
        <f>Table1456[[#This Row],[distance]]/$A$179</f>
        <v>0.28813559322033899</v>
      </c>
      <c r="E53" s="8">
        <f t="shared" si="0"/>
        <v>6.1545762711864409</v>
      </c>
      <c r="F53" s="8">
        <f t="shared" si="1"/>
        <v>2104.1173037288136</v>
      </c>
      <c r="G53" s="8">
        <f t="shared" si="2"/>
        <v>0.21041173037288136</v>
      </c>
    </row>
    <row r="54" spans="1:7" x14ac:dyDescent="0.25">
      <c r="A54" s="1">
        <v>52000</v>
      </c>
      <c r="B54" s="2">
        <v>272</v>
      </c>
      <c r="C54" s="2">
        <f>Table1456[[#This Row],[Elev_CEM1]]-B59</f>
        <v>19</v>
      </c>
      <c r="D54" s="8">
        <f>Table1456[[#This Row],[distance]]/$A$179</f>
        <v>0.29378531073446329</v>
      </c>
      <c r="E54" s="8">
        <f t="shared" si="0"/>
        <v>6.2752542372881361</v>
      </c>
      <c r="F54" s="8">
        <f t="shared" si="1"/>
        <v>1726.7648461016952</v>
      </c>
      <c r="G54" s="8">
        <f t="shared" si="2"/>
        <v>0.17267648461016952</v>
      </c>
    </row>
    <row r="55" spans="1:7" x14ac:dyDescent="0.25">
      <c r="A55" s="1">
        <v>53000</v>
      </c>
      <c r="B55" s="2">
        <v>263</v>
      </c>
      <c r="C55" s="2">
        <f>Table1456[[#This Row],[Elev_CEM1]]-B60</f>
        <v>21</v>
      </c>
      <c r="D55" s="8">
        <f>Table1456[[#This Row],[distance]]/$A$179</f>
        <v>0.29943502824858759</v>
      </c>
      <c r="E55" s="8">
        <f t="shared" si="0"/>
        <v>6.3959322033898305</v>
      </c>
      <c r="F55" s="8">
        <f t="shared" si="1"/>
        <v>1759.9718623728813</v>
      </c>
      <c r="G55" s="8">
        <f t="shared" si="2"/>
        <v>0.17599718623728813</v>
      </c>
    </row>
    <row r="56" spans="1:7" x14ac:dyDescent="0.25">
      <c r="A56" s="1">
        <v>54000</v>
      </c>
      <c r="B56" s="2">
        <v>260</v>
      </c>
      <c r="C56" s="2">
        <f>Table1456[[#This Row],[Elev_CEM1]]-B61</f>
        <v>24</v>
      </c>
      <c r="D56" s="8">
        <f>Table1456[[#This Row],[distance]]/$A$179</f>
        <v>0.30508474576271188</v>
      </c>
      <c r="E56" s="8">
        <f t="shared" si="0"/>
        <v>6.5166101694915257</v>
      </c>
      <c r="F56" s="8">
        <f t="shared" si="1"/>
        <v>1793.1788786440679</v>
      </c>
      <c r="G56" s="8">
        <f t="shared" si="2"/>
        <v>0.17931788786440681</v>
      </c>
    </row>
    <row r="57" spans="1:7" x14ac:dyDescent="0.25">
      <c r="A57" s="1">
        <v>55000</v>
      </c>
      <c r="B57" s="2">
        <v>251</v>
      </c>
      <c r="C57" s="2">
        <f>Table1456[[#This Row],[Elev_CEM1]]-B62</f>
        <v>23</v>
      </c>
      <c r="D57" s="8">
        <f>Table1456[[#This Row],[distance]]/$A$179</f>
        <v>0.31073446327683618</v>
      </c>
      <c r="E57" s="8">
        <f t="shared" si="0"/>
        <v>6.637288135593221</v>
      </c>
      <c r="F57" s="8">
        <f t="shared" si="1"/>
        <v>1715.6958406779663</v>
      </c>
      <c r="G57" s="8">
        <f t="shared" si="2"/>
        <v>0.17156958406779663</v>
      </c>
    </row>
    <row r="58" spans="1:7" x14ac:dyDescent="0.25">
      <c r="A58" s="1">
        <v>56000</v>
      </c>
      <c r="B58" s="2">
        <v>252</v>
      </c>
      <c r="C58" s="2">
        <f>Table1456[[#This Row],[Elev_CEM1]]-B63</f>
        <v>25</v>
      </c>
      <c r="D58" s="8">
        <f>Table1456[[#This Row],[distance]]/$A$179</f>
        <v>0.31638418079096048</v>
      </c>
      <c r="E58" s="8">
        <f t="shared" si="0"/>
        <v>6.7579661016949153</v>
      </c>
      <c r="F58" s="8">
        <f t="shared" si="1"/>
        <v>1408.7825084745764</v>
      </c>
      <c r="G58" s="8">
        <f t="shared" si="2"/>
        <v>0.14087825084745764</v>
      </c>
    </row>
    <row r="59" spans="1:7" x14ac:dyDescent="0.25">
      <c r="A59" s="1">
        <v>57000</v>
      </c>
      <c r="B59" s="2">
        <v>253</v>
      </c>
      <c r="C59" s="2">
        <f>Table1456[[#This Row],[Elev_CEM1]]-B64</f>
        <v>29</v>
      </c>
      <c r="D59" s="8">
        <f>Table1456[[#This Row],[distance]]/$A$179</f>
        <v>0.32203389830508472</v>
      </c>
      <c r="E59" s="8">
        <f t="shared" si="0"/>
        <v>6.8786440677966096</v>
      </c>
      <c r="F59" s="8">
        <f t="shared" si="1"/>
        <v>1089.7938976271184</v>
      </c>
      <c r="G59" s="8">
        <f t="shared" si="2"/>
        <v>0.10897938976271185</v>
      </c>
    </row>
    <row r="60" spans="1:7" x14ac:dyDescent="0.25">
      <c r="A60" s="1">
        <v>58000</v>
      </c>
      <c r="B60" s="2">
        <v>242</v>
      </c>
      <c r="C60" s="2">
        <f>Table1456[[#This Row],[Elev_CEM1]]-B65</f>
        <v>26</v>
      </c>
      <c r="D60" s="8">
        <f>Table1456[[#This Row],[distance]]/$A$179</f>
        <v>0.32768361581920902</v>
      </c>
      <c r="E60" s="8">
        <f t="shared" si="0"/>
        <v>6.9993220338983049</v>
      </c>
      <c r="F60" s="8">
        <f t="shared" si="1"/>
        <v>1225.6407823728812</v>
      </c>
      <c r="G60" s="8">
        <f t="shared" si="2"/>
        <v>0.12256407823728811</v>
      </c>
    </row>
    <row r="61" spans="1:7" x14ac:dyDescent="0.25">
      <c r="A61" s="1">
        <v>59000</v>
      </c>
      <c r="B61" s="2">
        <v>236</v>
      </c>
      <c r="C61" s="2">
        <f>Table1456[[#This Row],[Elev_CEM1]]-B66</f>
        <v>25</v>
      </c>
      <c r="D61" s="8">
        <f>Table1456[[#This Row],[distance]]/$A$179</f>
        <v>0.33333333333333331</v>
      </c>
      <c r="E61" s="8">
        <f t="shared" si="0"/>
        <v>7.1199999999999992</v>
      </c>
      <c r="F61" s="8">
        <f t="shared" si="1"/>
        <v>1424.8828799999999</v>
      </c>
      <c r="G61" s="8">
        <f t="shared" si="2"/>
        <v>0.14248828799999999</v>
      </c>
    </row>
    <row r="62" spans="1:7" x14ac:dyDescent="0.25">
      <c r="A62" s="1">
        <v>60000</v>
      </c>
      <c r="B62" s="2">
        <v>228</v>
      </c>
      <c r="C62" s="2">
        <f>Table1456[[#This Row],[Elev_CEM1]]-B67</f>
        <v>21</v>
      </c>
      <c r="D62" s="8">
        <f>Table1456[[#This Row],[distance]]/$A$179</f>
        <v>0.33898305084745761</v>
      </c>
      <c r="E62" s="8">
        <f t="shared" si="0"/>
        <v>7.2406779661016945</v>
      </c>
      <c r="F62" s="8">
        <f t="shared" si="1"/>
        <v>1388.6570440677967</v>
      </c>
      <c r="G62" s="8">
        <f t="shared" si="2"/>
        <v>0.13886570440677967</v>
      </c>
    </row>
    <row r="63" spans="1:7" x14ac:dyDescent="0.25">
      <c r="A63" s="1">
        <v>61000</v>
      </c>
      <c r="B63" s="2">
        <v>227</v>
      </c>
      <c r="C63" s="2">
        <f>Table1456[[#This Row],[Elev_CEM1]]-B68</f>
        <v>23</v>
      </c>
      <c r="D63" s="8">
        <f>Table1456[[#This Row],[distance]]/$A$179</f>
        <v>0.34463276836158191</v>
      </c>
      <c r="E63" s="8">
        <f t="shared" si="0"/>
        <v>7.3613559322033897</v>
      </c>
      <c r="F63" s="8">
        <f t="shared" si="1"/>
        <v>1534.566661016949</v>
      </c>
      <c r="G63" s="8">
        <f t="shared" si="2"/>
        <v>0.15345666610169489</v>
      </c>
    </row>
    <row r="64" spans="1:7" x14ac:dyDescent="0.25">
      <c r="A64" s="1">
        <v>62000</v>
      </c>
      <c r="B64" s="2">
        <v>224</v>
      </c>
      <c r="C64" s="2">
        <f>Table1456[[#This Row],[Elev_CEM1]]-B69</f>
        <v>23</v>
      </c>
      <c r="D64" s="8">
        <f>Table1456[[#This Row],[distance]]/$A$179</f>
        <v>0.35028248587570621</v>
      </c>
      <c r="E64" s="8">
        <f t="shared" si="0"/>
        <v>7.482033898305084</v>
      </c>
      <c r="F64" s="8">
        <f t="shared" si="1"/>
        <v>1809.2792501694917</v>
      </c>
      <c r="G64" s="8">
        <f t="shared" si="2"/>
        <v>0.18092792501694915</v>
      </c>
    </row>
    <row r="65" spans="1:7" x14ac:dyDescent="0.25">
      <c r="A65" s="1">
        <v>63000</v>
      </c>
      <c r="B65" s="2">
        <v>216</v>
      </c>
      <c r="C65" s="2">
        <f>Table1456[[#This Row],[Elev_CEM1]]-B70</f>
        <v>23</v>
      </c>
      <c r="D65" s="8">
        <f>Table1456[[#This Row],[distance]]/$A$179</f>
        <v>0.3559322033898305</v>
      </c>
      <c r="E65" s="8">
        <f t="shared" si="0"/>
        <v>7.6027118644067793</v>
      </c>
      <c r="F65" s="8">
        <f t="shared" si="1"/>
        <v>1648.2755349152542</v>
      </c>
      <c r="G65" s="8">
        <f t="shared" si="2"/>
        <v>0.16482755349152542</v>
      </c>
    </row>
    <row r="66" spans="1:7" x14ac:dyDescent="0.25">
      <c r="A66" s="1">
        <v>64000</v>
      </c>
      <c r="B66" s="2">
        <v>211</v>
      </c>
      <c r="C66" s="2">
        <f>Table1456[[#This Row],[Elev_CEM1]]-B71</f>
        <v>17</v>
      </c>
      <c r="D66" s="8">
        <f>Table1456[[#This Row],[distance]]/$A$179</f>
        <v>0.3615819209039548</v>
      </c>
      <c r="E66" s="8">
        <f t="shared" ref="E66:E129" si="3">21.36*D66</f>
        <v>7.7233898305084745</v>
      </c>
      <c r="F66" s="8">
        <f t="shared" si="1"/>
        <v>1610.037152542373</v>
      </c>
      <c r="G66" s="8">
        <f t="shared" si="2"/>
        <v>0.16100371525423729</v>
      </c>
    </row>
    <row r="67" spans="1:7" x14ac:dyDescent="0.25">
      <c r="A67" s="1">
        <v>65000</v>
      </c>
      <c r="B67" s="2">
        <v>207</v>
      </c>
      <c r="C67" s="2">
        <f>Table1456[[#This Row],[Elev_CEM1]]-B72</f>
        <v>16</v>
      </c>
      <c r="D67" s="8">
        <f>Table1456[[#This Row],[distance]]/$A$179</f>
        <v>0.3672316384180791</v>
      </c>
      <c r="E67" s="8">
        <f t="shared" si="3"/>
        <v>7.8440677966101697</v>
      </c>
      <c r="F67" s="8">
        <f t="shared" si="1"/>
        <v>1373.5629457627119</v>
      </c>
      <c r="G67" s="8">
        <f t="shared" si="2"/>
        <v>0.13735629457627119</v>
      </c>
    </row>
    <row r="68" spans="1:7" x14ac:dyDescent="0.25">
      <c r="A68" s="1">
        <v>66000</v>
      </c>
      <c r="B68" s="2">
        <v>204</v>
      </c>
      <c r="C68" s="2">
        <f>Table1456[[#This Row],[Elev_CEM1]]-B73</f>
        <v>22</v>
      </c>
      <c r="D68" s="8">
        <f>Table1456[[#This Row],[distance]]/$A$179</f>
        <v>0.3728813559322034</v>
      </c>
      <c r="E68" s="8">
        <f t="shared" si="3"/>
        <v>7.9647457627118641</v>
      </c>
      <c r="F68" s="8">
        <f t="shared" si="1"/>
        <v>1527.5227484745762</v>
      </c>
      <c r="G68" s="8">
        <f t="shared" si="2"/>
        <v>0.15275227484745763</v>
      </c>
    </row>
    <row r="69" spans="1:7" x14ac:dyDescent="0.25">
      <c r="A69" s="1">
        <v>67000</v>
      </c>
      <c r="B69" s="2">
        <v>201</v>
      </c>
      <c r="C69" s="2">
        <f>Table1456[[#This Row],[Elev_CEM1]]-B74</f>
        <v>18</v>
      </c>
      <c r="D69" s="8">
        <f>Table1456[[#This Row],[distance]]/$A$179</f>
        <v>0.37853107344632769</v>
      </c>
      <c r="E69" s="8">
        <f t="shared" si="3"/>
        <v>8.0854237288135593</v>
      </c>
      <c r="F69" s="8">
        <f t="shared" si="1"/>
        <v>1550.6670325423729</v>
      </c>
      <c r="G69" s="8">
        <f t="shared" si="2"/>
        <v>0.1550667032542373</v>
      </c>
    </row>
    <row r="70" spans="1:7" x14ac:dyDescent="0.25">
      <c r="A70" s="1">
        <v>68000</v>
      </c>
      <c r="B70" s="2">
        <v>193</v>
      </c>
      <c r="C70" s="2">
        <f>Table1456[[#This Row],[Elev_CEM1]]-B75</f>
        <v>15</v>
      </c>
      <c r="D70" s="8">
        <f>Table1456[[#This Row],[distance]]/$A$179</f>
        <v>0.38418079096045199</v>
      </c>
      <c r="E70" s="8">
        <f t="shared" si="3"/>
        <v>8.2061016949152545</v>
      </c>
      <c r="F70" s="8">
        <f t="shared" si="1"/>
        <v>1573.8113166101693</v>
      </c>
      <c r="G70" s="8">
        <f t="shared" si="2"/>
        <v>0.15738113166101694</v>
      </c>
    </row>
    <row r="71" spans="1:7" x14ac:dyDescent="0.25">
      <c r="A71" s="1">
        <v>69000</v>
      </c>
      <c r="B71" s="2">
        <v>194</v>
      </c>
      <c r="C71" s="2">
        <f>Table1456[[#This Row],[Elev_CEM1]]-B76</f>
        <v>17</v>
      </c>
      <c r="D71" s="8">
        <f>Table1456[[#This Row],[distance]]/$A$179</f>
        <v>0.38983050847457629</v>
      </c>
      <c r="E71" s="8">
        <f t="shared" si="3"/>
        <v>8.3267796610169498</v>
      </c>
      <c r="F71" s="8">
        <f t="shared" si="1"/>
        <v>1180.3584874576272</v>
      </c>
      <c r="G71" s="8">
        <f t="shared" si="2"/>
        <v>0.11803584874576273</v>
      </c>
    </row>
    <row r="72" spans="1:7" x14ac:dyDescent="0.25">
      <c r="A72" s="1">
        <v>70000</v>
      </c>
      <c r="B72" s="2">
        <v>191</v>
      </c>
      <c r="C72" s="2">
        <f>Table1456[[#This Row],[Elev_CEM1]]-B77</f>
        <v>19</v>
      </c>
      <c r="D72" s="8">
        <f>Table1456[[#This Row],[distance]]/$A$179</f>
        <v>0.39548022598870058</v>
      </c>
      <c r="E72" s="8">
        <f t="shared" si="3"/>
        <v>8.447457627118645</v>
      </c>
      <c r="F72" s="8">
        <f t="shared" ref="F72:F135" si="4">(1000*E72*C67*0.85*9.81)/1000</f>
        <v>1127.0260067796612</v>
      </c>
      <c r="G72" s="8">
        <f t="shared" ref="G72:G135" si="5">F72/10000</f>
        <v>0.11270260067796611</v>
      </c>
    </row>
    <row r="73" spans="1:7" x14ac:dyDescent="0.25">
      <c r="A73" s="1">
        <v>71000</v>
      </c>
      <c r="B73" s="2">
        <v>182</v>
      </c>
      <c r="C73" s="2">
        <f>Table1456[[#This Row],[Elev_CEM1]]-B78</f>
        <v>11</v>
      </c>
      <c r="D73" s="8">
        <f>Table1456[[#This Row],[distance]]/$A$179</f>
        <v>0.40112994350282488</v>
      </c>
      <c r="E73" s="8">
        <f t="shared" si="3"/>
        <v>8.5681355932203385</v>
      </c>
      <c r="F73" s="8">
        <f t="shared" si="4"/>
        <v>1571.7987701694915</v>
      </c>
      <c r="G73" s="8">
        <f t="shared" si="5"/>
        <v>0.15717987701694916</v>
      </c>
    </row>
    <row r="74" spans="1:7" x14ac:dyDescent="0.25">
      <c r="A74" s="1">
        <v>72000</v>
      </c>
      <c r="B74" s="2">
        <v>183</v>
      </c>
      <c r="C74" s="2">
        <f>Table1456[[#This Row],[Elev_CEM1]]-B79</f>
        <v>19</v>
      </c>
      <c r="D74" s="8">
        <f>Table1456[[#This Row],[distance]]/$A$179</f>
        <v>0.40677966101694918</v>
      </c>
      <c r="E74" s="8">
        <f t="shared" si="3"/>
        <v>8.6888135593220337</v>
      </c>
      <c r="F74" s="8">
        <f t="shared" si="4"/>
        <v>1304.1300935593222</v>
      </c>
      <c r="G74" s="8">
        <f t="shared" si="5"/>
        <v>0.13041300935593222</v>
      </c>
    </row>
    <row r="75" spans="1:7" x14ac:dyDescent="0.25">
      <c r="A75" s="1">
        <v>73000</v>
      </c>
      <c r="B75" s="2">
        <v>178</v>
      </c>
      <c r="C75" s="2">
        <f>Table1456[[#This Row],[Elev_CEM1]]-B80</f>
        <v>13</v>
      </c>
      <c r="D75" s="8">
        <f>Table1456[[#This Row],[distance]]/$A$179</f>
        <v>0.41242937853107342</v>
      </c>
      <c r="E75" s="8">
        <f t="shared" si="3"/>
        <v>8.8094915254237272</v>
      </c>
      <c r="F75" s="8">
        <f t="shared" si="4"/>
        <v>1101.8691762711865</v>
      </c>
      <c r="G75" s="8">
        <f t="shared" si="5"/>
        <v>0.11018691762711864</v>
      </c>
    </row>
    <row r="76" spans="1:7" x14ac:dyDescent="0.25">
      <c r="A76" s="1">
        <v>74000</v>
      </c>
      <c r="B76" s="2">
        <v>177</v>
      </c>
      <c r="C76" s="2">
        <f>Table1456[[#This Row],[Elev_CEM1]]-B81</f>
        <v>14</v>
      </c>
      <c r="D76" s="8">
        <f>Table1456[[#This Row],[distance]]/$A$179</f>
        <v>0.41807909604519772</v>
      </c>
      <c r="E76" s="8">
        <f t="shared" si="3"/>
        <v>8.9301694915254224</v>
      </c>
      <c r="F76" s="8">
        <f t="shared" si="4"/>
        <v>1265.8917111864405</v>
      </c>
      <c r="G76" s="8">
        <f t="shared" si="5"/>
        <v>0.12658917111864404</v>
      </c>
    </row>
    <row r="77" spans="1:7" x14ac:dyDescent="0.25">
      <c r="A77" s="1">
        <v>75000</v>
      </c>
      <c r="B77" s="2">
        <v>172</v>
      </c>
      <c r="C77" s="2">
        <f>Table1456[[#This Row],[Elev_CEM1]]-B82</f>
        <v>19</v>
      </c>
      <c r="D77" s="8">
        <f>Table1456[[#This Row],[distance]]/$A$179</f>
        <v>0.42372881355932202</v>
      </c>
      <c r="E77" s="8">
        <f t="shared" si="3"/>
        <v>9.0508474576271176</v>
      </c>
      <c r="F77" s="8">
        <f t="shared" si="4"/>
        <v>1433.9393389830509</v>
      </c>
      <c r="G77" s="8">
        <f t="shared" si="5"/>
        <v>0.1433939338983051</v>
      </c>
    </row>
    <row r="78" spans="1:7" x14ac:dyDescent="0.25">
      <c r="A78" s="1">
        <v>76000</v>
      </c>
      <c r="B78" s="2">
        <v>171</v>
      </c>
      <c r="C78" s="2">
        <f>Table1456[[#This Row],[Elev_CEM1]]-B83</f>
        <v>13</v>
      </c>
      <c r="D78" s="8">
        <f>Table1456[[#This Row],[distance]]/$A$179</f>
        <v>0.42937853107344631</v>
      </c>
      <c r="E78" s="8">
        <f t="shared" si="3"/>
        <v>9.1715254237288129</v>
      </c>
      <c r="F78" s="8">
        <f t="shared" si="4"/>
        <v>841.24441220338986</v>
      </c>
      <c r="G78" s="8">
        <f t="shared" si="5"/>
        <v>8.4124441220338991E-2</v>
      </c>
    </row>
    <row r="79" spans="1:7" x14ac:dyDescent="0.25">
      <c r="A79" s="1">
        <v>77000</v>
      </c>
      <c r="B79" s="2">
        <v>164</v>
      </c>
      <c r="C79" s="2">
        <f>Table1456[[#This Row],[Elev_CEM1]]-B84</f>
        <v>4</v>
      </c>
      <c r="D79" s="8">
        <f>Table1456[[#This Row],[distance]]/$A$179</f>
        <v>0.43502824858757061</v>
      </c>
      <c r="E79" s="8">
        <f t="shared" si="3"/>
        <v>9.2922033898305081</v>
      </c>
      <c r="F79" s="8">
        <f t="shared" si="4"/>
        <v>1472.1777213559324</v>
      </c>
      <c r="G79" s="8">
        <f t="shared" si="5"/>
        <v>0.14721777213559323</v>
      </c>
    </row>
    <row r="80" spans="1:7" x14ac:dyDescent="0.25">
      <c r="A80" s="1">
        <v>78000</v>
      </c>
      <c r="B80" s="2">
        <v>165</v>
      </c>
      <c r="C80" s="2">
        <f>Table1456[[#This Row],[Elev_CEM1]]-B85</f>
        <v>16</v>
      </c>
      <c r="D80" s="8">
        <f>Table1456[[#This Row],[distance]]/$A$179</f>
        <v>0.44067796610169491</v>
      </c>
      <c r="E80" s="8">
        <f t="shared" si="3"/>
        <v>9.4128813559322033</v>
      </c>
      <c r="F80" s="8">
        <f t="shared" si="4"/>
        <v>1020.3610454237288</v>
      </c>
      <c r="G80" s="8">
        <f t="shared" si="5"/>
        <v>0.10203610454237289</v>
      </c>
    </row>
    <row r="81" spans="1:7" x14ac:dyDescent="0.25">
      <c r="A81" s="1">
        <v>79000</v>
      </c>
      <c r="B81" s="2">
        <v>163</v>
      </c>
      <c r="C81" s="2">
        <f>Table1456[[#This Row],[Elev_CEM1]]-B86</f>
        <v>7</v>
      </c>
      <c r="D81" s="8">
        <f>Table1456[[#This Row],[distance]]/$A$179</f>
        <v>0.4463276836158192</v>
      </c>
      <c r="E81" s="8">
        <f t="shared" si="3"/>
        <v>9.5335593220338986</v>
      </c>
      <c r="F81" s="8">
        <f t="shared" si="4"/>
        <v>1112.9381816949153</v>
      </c>
      <c r="G81" s="8">
        <f t="shared" si="5"/>
        <v>0.11129381816949153</v>
      </c>
    </row>
    <row r="82" spans="1:7" x14ac:dyDescent="0.25">
      <c r="A82" s="1">
        <v>80000</v>
      </c>
      <c r="B82" s="2">
        <v>153</v>
      </c>
      <c r="C82" s="2">
        <f>Table1456[[#This Row],[Elev_CEM1]]-B87</f>
        <v>5</v>
      </c>
      <c r="D82" s="8">
        <f>Table1456[[#This Row],[distance]]/$A$179</f>
        <v>0.4519774011299435</v>
      </c>
      <c r="E82" s="8">
        <f t="shared" si="3"/>
        <v>9.6542372881355938</v>
      </c>
      <c r="F82" s="8">
        <f t="shared" si="4"/>
        <v>1529.5352949152543</v>
      </c>
      <c r="G82" s="8">
        <f t="shared" si="5"/>
        <v>0.15295352949152544</v>
      </c>
    </row>
    <row r="83" spans="1:7" x14ac:dyDescent="0.25">
      <c r="A83" s="1">
        <v>81000</v>
      </c>
      <c r="B83" s="2">
        <v>158</v>
      </c>
      <c r="C83" s="2">
        <f>Table1456[[#This Row],[Elev_CEM1]]-B88</f>
        <v>11</v>
      </c>
      <c r="D83" s="8">
        <f>Table1456[[#This Row],[distance]]/$A$179</f>
        <v>0.4576271186440678</v>
      </c>
      <c r="E83" s="8">
        <f t="shared" si="3"/>
        <v>9.7749152542372872</v>
      </c>
      <c r="F83" s="8">
        <f t="shared" si="4"/>
        <v>1059.6057010169491</v>
      </c>
      <c r="G83" s="8">
        <f t="shared" si="5"/>
        <v>0.10596057010169491</v>
      </c>
    </row>
    <row r="84" spans="1:7" x14ac:dyDescent="0.25">
      <c r="A84" s="1">
        <v>82000</v>
      </c>
      <c r="B84" s="2">
        <v>160</v>
      </c>
      <c r="C84" s="2">
        <f>Table1456[[#This Row],[Elev_CEM1]]-B89</f>
        <v>17</v>
      </c>
      <c r="D84" s="8">
        <f>Table1456[[#This Row],[distance]]/$A$179</f>
        <v>0.4632768361581921</v>
      </c>
      <c r="E84" s="8">
        <f t="shared" si="3"/>
        <v>9.8955932203389825</v>
      </c>
      <c r="F84" s="8">
        <f t="shared" si="4"/>
        <v>330.05761627118636</v>
      </c>
      <c r="G84" s="8">
        <f t="shared" si="5"/>
        <v>3.3005761627118636E-2</v>
      </c>
    </row>
    <row r="85" spans="1:7" x14ac:dyDescent="0.25">
      <c r="A85" s="1">
        <v>83000</v>
      </c>
      <c r="B85" s="2">
        <v>149</v>
      </c>
      <c r="C85" s="2">
        <f>Table1456[[#This Row],[Elev_CEM1]]-B90</f>
        <v>8</v>
      </c>
      <c r="D85" s="8">
        <f>Table1456[[#This Row],[distance]]/$A$179</f>
        <v>0.46892655367231639</v>
      </c>
      <c r="E85" s="8">
        <f t="shared" si="3"/>
        <v>10.016271186440678</v>
      </c>
      <c r="F85" s="8">
        <f t="shared" si="4"/>
        <v>1336.3308366101694</v>
      </c>
      <c r="G85" s="8">
        <f t="shared" si="5"/>
        <v>0.13363308366101695</v>
      </c>
    </row>
    <row r="86" spans="1:7" x14ac:dyDescent="0.25">
      <c r="A86" s="1">
        <v>84000</v>
      </c>
      <c r="B86" s="2">
        <v>156</v>
      </c>
      <c r="C86" s="2">
        <f>Table1456[[#This Row],[Elev_CEM1]]-B91</f>
        <v>18</v>
      </c>
      <c r="D86" s="8">
        <f>Table1456[[#This Row],[distance]]/$A$179</f>
        <v>0.47457627118644069</v>
      </c>
      <c r="E86" s="8">
        <f t="shared" si="3"/>
        <v>10.136949152542373</v>
      </c>
      <c r="F86" s="8">
        <f t="shared" si="4"/>
        <v>591.68865355932212</v>
      </c>
      <c r="G86" s="8">
        <f t="shared" si="5"/>
        <v>5.9168865355932215E-2</v>
      </c>
    </row>
    <row r="87" spans="1:7" x14ac:dyDescent="0.25">
      <c r="A87" s="1">
        <v>85000</v>
      </c>
      <c r="B87" s="2">
        <v>148</v>
      </c>
      <c r="C87" s="2">
        <f>Table1456[[#This Row],[Elev_CEM1]]-B92</f>
        <v>4</v>
      </c>
      <c r="D87" s="8">
        <f>Table1456[[#This Row],[distance]]/$A$179</f>
        <v>0.48022598870056499</v>
      </c>
      <c r="E87" s="8">
        <f t="shared" si="3"/>
        <v>10.257627118644068</v>
      </c>
      <c r="F87" s="8">
        <f t="shared" si="4"/>
        <v>427.66611864406786</v>
      </c>
      <c r="G87" s="8">
        <f t="shared" si="5"/>
        <v>4.2766611864406785E-2</v>
      </c>
    </row>
    <row r="88" spans="1:7" x14ac:dyDescent="0.25">
      <c r="A88" s="1">
        <v>86000</v>
      </c>
      <c r="B88" s="2">
        <v>147</v>
      </c>
      <c r="C88" s="2">
        <f>Table1456[[#This Row],[Elev_CEM1]]-B93</f>
        <v>17</v>
      </c>
      <c r="D88" s="8">
        <f>Table1456[[#This Row],[distance]]/$A$179</f>
        <v>0.48587570621468928</v>
      </c>
      <c r="E88" s="8">
        <f t="shared" si="3"/>
        <v>10.378305084745763</v>
      </c>
      <c r="F88" s="8">
        <f t="shared" si="4"/>
        <v>951.93446644067808</v>
      </c>
      <c r="G88" s="8">
        <f t="shared" si="5"/>
        <v>9.5193446644067814E-2</v>
      </c>
    </row>
    <row r="89" spans="1:7" x14ac:dyDescent="0.25">
      <c r="A89" s="1">
        <v>87000</v>
      </c>
      <c r="B89" s="2">
        <v>143</v>
      </c>
      <c r="C89" s="2">
        <f>Table1456[[#This Row],[Elev_CEM1]]-B94</f>
        <v>7</v>
      </c>
      <c r="D89" s="8">
        <f>Table1456[[#This Row],[distance]]/$A$179</f>
        <v>0.49152542372881358</v>
      </c>
      <c r="E89" s="8">
        <f t="shared" si="3"/>
        <v>10.498983050847459</v>
      </c>
      <c r="F89" s="8">
        <f t="shared" si="4"/>
        <v>1488.2780928813561</v>
      </c>
      <c r="G89" s="8">
        <f t="shared" si="5"/>
        <v>0.1488278092881356</v>
      </c>
    </row>
    <row r="90" spans="1:7" x14ac:dyDescent="0.25">
      <c r="A90" s="1">
        <v>88000</v>
      </c>
      <c r="B90" s="2">
        <v>141</v>
      </c>
      <c r="C90" s="2">
        <f>Table1456[[#This Row],[Elev_CEM1]]-B95</f>
        <v>5</v>
      </c>
      <c r="D90" s="8">
        <f>Table1456[[#This Row],[distance]]/$A$179</f>
        <v>0.49717514124293788</v>
      </c>
      <c r="E90" s="8">
        <f t="shared" si="3"/>
        <v>10.619661016949152</v>
      </c>
      <c r="F90" s="8">
        <f t="shared" si="4"/>
        <v>708.41634711864401</v>
      </c>
      <c r="G90" s="8">
        <f t="shared" si="5"/>
        <v>7.0841634711864401E-2</v>
      </c>
    </row>
    <row r="91" spans="1:7" x14ac:dyDescent="0.25">
      <c r="A91" s="1">
        <v>89000</v>
      </c>
      <c r="B91" s="2">
        <v>138</v>
      </c>
      <c r="C91" s="2">
        <f>Table1456[[#This Row],[Elev_CEM1]]-B96</f>
        <v>10</v>
      </c>
      <c r="D91" s="8">
        <f>Table1456[[#This Row],[distance]]/$A$179</f>
        <v>0.50282485875706218</v>
      </c>
      <c r="E91" s="8">
        <f t="shared" si="3"/>
        <v>10.740338983050847</v>
      </c>
      <c r="F91" s="8">
        <f t="shared" si="4"/>
        <v>1612.0496989830508</v>
      </c>
      <c r="G91" s="8">
        <f t="shared" si="5"/>
        <v>0.16120496989830507</v>
      </c>
    </row>
    <row r="92" spans="1:7" x14ac:dyDescent="0.25">
      <c r="A92" s="1">
        <v>90000</v>
      </c>
      <c r="B92" s="2">
        <v>144</v>
      </c>
      <c r="C92" s="2">
        <f>Table1456[[#This Row],[Elev_CEM1]]-B97</f>
        <v>20</v>
      </c>
      <c r="D92" s="8">
        <f>Table1456[[#This Row],[distance]]/$A$179</f>
        <v>0.50847457627118642</v>
      </c>
      <c r="E92" s="8">
        <f t="shared" si="3"/>
        <v>10.861016949152541</v>
      </c>
      <c r="F92" s="8">
        <f t="shared" si="4"/>
        <v>362.25835932203387</v>
      </c>
      <c r="G92" s="8">
        <f t="shared" si="5"/>
        <v>3.6225835932203389E-2</v>
      </c>
    </row>
    <row r="93" spans="1:7" x14ac:dyDescent="0.25">
      <c r="A93" s="1">
        <v>91000</v>
      </c>
      <c r="B93" s="2">
        <v>130</v>
      </c>
      <c r="C93" s="2">
        <f>Table1456[[#This Row],[Elev_CEM1]]-B98</f>
        <v>6</v>
      </c>
      <c r="D93" s="8">
        <f>Table1456[[#This Row],[distance]]/$A$179</f>
        <v>0.51412429378531077</v>
      </c>
      <c r="E93" s="8">
        <f t="shared" si="3"/>
        <v>10.981694915254238</v>
      </c>
      <c r="F93" s="8">
        <f t="shared" si="4"/>
        <v>1556.7046718644069</v>
      </c>
      <c r="G93" s="8">
        <f t="shared" si="5"/>
        <v>0.1556704671864407</v>
      </c>
    </row>
    <row r="94" spans="1:7" x14ac:dyDescent="0.25">
      <c r="A94" s="1">
        <v>92000</v>
      </c>
      <c r="B94" s="2">
        <v>136</v>
      </c>
      <c r="C94" s="2">
        <f>Table1456[[#This Row],[Elev_CEM1]]-B99</f>
        <v>18</v>
      </c>
      <c r="D94" s="8">
        <f>Table1456[[#This Row],[distance]]/$A$179</f>
        <v>0.51977401129943501</v>
      </c>
      <c r="E94" s="8">
        <f t="shared" si="3"/>
        <v>11.102372881355931</v>
      </c>
      <c r="F94" s="8">
        <f t="shared" si="4"/>
        <v>648.03995389830516</v>
      </c>
      <c r="G94" s="8">
        <f t="shared" si="5"/>
        <v>6.4803995389830518E-2</v>
      </c>
    </row>
    <row r="95" spans="1:7" x14ac:dyDescent="0.25">
      <c r="A95" s="1">
        <v>93000</v>
      </c>
      <c r="B95" s="2">
        <v>136</v>
      </c>
      <c r="C95" s="2">
        <f>Table1456[[#This Row],[Elev_CEM1]]-B100</f>
        <v>22</v>
      </c>
      <c r="D95" s="8">
        <f>Table1456[[#This Row],[distance]]/$A$179</f>
        <v>0.52542372881355937</v>
      </c>
      <c r="E95" s="8">
        <f t="shared" si="3"/>
        <v>11.223050847457628</v>
      </c>
      <c r="F95" s="8">
        <f t="shared" si="4"/>
        <v>467.91704745762712</v>
      </c>
      <c r="G95" s="8">
        <f t="shared" si="5"/>
        <v>4.6791704745762712E-2</v>
      </c>
    </row>
    <row r="96" spans="1:7" x14ac:dyDescent="0.25">
      <c r="A96" s="1">
        <v>94000</v>
      </c>
      <c r="B96" s="2">
        <v>128</v>
      </c>
      <c r="C96" s="2">
        <f>Table1456[[#This Row],[Elev_CEM1]]-B101</f>
        <v>3</v>
      </c>
      <c r="D96" s="8">
        <f>Table1456[[#This Row],[distance]]/$A$179</f>
        <v>0.53107344632768361</v>
      </c>
      <c r="E96" s="8">
        <f t="shared" si="3"/>
        <v>11.343728813559322</v>
      </c>
      <c r="F96" s="8">
        <f t="shared" si="4"/>
        <v>945.8968271186443</v>
      </c>
      <c r="G96" s="8">
        <f t="shared" si="5"/>
        <v>9.4589682711864423E-2</v>
      </c>
    </row>
    <row r="97" spans="1:7" x14ac:dyDescent="0.25">
      <c r="A97" s="1">
        <v>95000</v>
      </c>
      <c r="B97" s="2">
        <v>124</v>
      </c>
      <c r="C97" s="2">
        <f>Table1456[[#This Row],[Elev_CEM1]]-B102</f>
        <v>13</v>
      </c>
      <c r="D97" s="8">
        <f>Table1456[[#This Row],[distance]]/$A$179</f>
        <v>0.53672316384180796</v>
      </c>
      <c r="E97" s="8">
        <f t="shared" si="3"/>
        <v>11.464406779661017</v>
      </c>
      <c r="F97" s="8">
        <f t="shared" si="4"/>
        <v>1911.9191186440678</v>
      </c>
      <c r="G97" s="8">
        <f t="shared" si="5"/>
        <v>0.19119191186440679</v>
      </c>
    </row>
    <row r="98" spans="1:7" x14ac:dyDescent="0.25">
      <c r="A98" s="1">
        <v>96000</v>
      </c>
      <c r="B98" s="2">
        <v>124</v>
      </c>
      <c r="C98" s="2">
        <f>Table1456[[#This Row],[Elev_CEM1]]-B103</f>
        <v>11</v>
      </c>
      <c r="D98" s="8">
        <f>Table1456[[#This Row],[distance]]/$A$179</f>
        <v>0.5423728813559322</v>
      </c>
      <c r="E98" s="8">
        <f t="shared" si="3"/>
        <v>11.585084745762712</v>
      </c>
      <c r="F98" s="8">
        <f t="shared" si="4"/>
        <v>579.61337491525421</v>
      </c>
      <c r="G98" s="8">
        <f t="shared" si="5"/>
        <v>5.7961337491525419E-2</v>
      </c>
    </row>
    <row r="99" spans="1:7" x14ac:dyDescent="0.25">
      <c r="A99" s="1">
        <v>97000</v>
      </c>
      <c r="B99" s="2">
        <v>118</v>
      </c>
      <c r="C99" s="2">
        <f>Table1456[[#This Row],[Elev_CEM1]]-B104</f>
        <v>10</v>
      </c>
      <c r="D99" s="8">
        <f>Table1456[[#This Row],[distance]]/$A$179</f>
        <v>0.54802259887005644</v>
      </c>
      <c r="E99" s="8">
        <f t="shared" si="3"/>
        <v>11.705762711864406</v>
      </c>
      <c r="F99" s="8">
        <f t="shared" si="4"/>
        <v>1756.9530427118643</v>
      </c>
      <c r="G99" s="8">
        <f t="shared" si="5"/>
        <v>0.17569530427118643</v>
      </c>
    </row>
    <row r="100" spans="1:7" x14ac:dyDescent="0.25">
      <c r="A100" s="1">
        <v>98000</v>
      </c>
      <c r="B100" s="2">
        <v>114</v>
      </c>
      <c r="C100" s="2">
        <f>Table1456[[#This Row],[Elev_CEM1]]-B105</f>
        <v>7</v>
      </c>
      <c r="D100" s="8">
        <f>Table1456[[#This Row],[distance]]/$A$179</f>
        <v>0.5536723163841808</v>
      </c>
      <c r="E100" s="8">
        <f t="shared" si="3"/>
        <v>11.826440677966101</v>
      </c>
      <c r="F100" s="8">
        <f t="shared" si="4"/>
        <v>2169.5250630508472</v>
      </c>
      <c r="G100" s="8">
        <f t="shared" si="5"/>
        <v>0.21695250630508472</v>
      </c>
    </row>
    <row r="101" spans="1:7" x14ac:dyDescent="0.25">
      <c r="A101" s="1">
        <v>99000</v>
      </c>
      <c r="B101" s="2">
        <v>125</v>
      </c>
      <c r="C101" s="2">
        <f>Table1456[[#This Row],[Elev_CEM1]]-B106</f>
        <v>17</v>
      </c>
      <c r="D101" s="8">
        <f>Table1456[[#This Row],[distance]]/$A$179</f>
        <v>0.55932203389830504</v>
      </c>
      <c r="E101" s="8">
        <f t="shared" si="3"/>
        <v>11.947118644067796</v>
      </c>
      <c r="F101" s="8">
        <f t="shared" si="4"/>
        <v>298.86314644067795</v>
      </c>
      <c r="G101" s="8">
        <f t="shared" si="5"/>
        <v>2.9886314644067796E-2</v>
      </c>
    </row>
    <row r="102" spans="1:7" x14ac:dyDescent="0.25">
      <c r="A102" s="1">
        <v>100000</v>
      </c>
      <c r="B102" s="2">
        <v>111</v>
      </c>
      <c r="C102" s="2">
        <f>Table1456[[#This Row],[Elev_CEM1]]-B107</f>
        <v>8</v>
      </c>
      <c r="D102" s="8">
        <f>Table1456[[#This Row],[distance]]/$A$179</f>
        <v>0.56497175141242939</v>
      </c>
      <c r="E102" s="8">
        <f t="shared" si="3"/>
        <v>12.067796610169491</v>
      </c>
      <c r="F102" s="8">
        <f t="shared" si="4"/>
        <v>1308.1551864406781</v>
      </c>
      <c r="G102" s="8">
        <f t="shared" si="5"/>
        <v>0.13081551864406782</v>
      </c>
    </row>
    <row r="103" spans="1:7" x14ac:dyDescent="0.25">
      <c r="A103" s="1">
        <v>101000</v>
      </c>
      <c r="B103" s="2">
        <v>113</v>
      </c>
      <c r="C103" s="2">
        <f>Table1456[[#This Row],[Elev_CEM1]]-B108</f>
        <v>15</v>
      </c>
      <c r="D103" s="8">
        <f>Table1456[[#This Row],[distance]]/$A$179</f>
        <v>0.57062146892655363</v>
      </c>
      <c r="E103" s="8">
        <f t="shared" si="3"/>
        <v>12.188474576271185</v>
      </c>
      <c r="F103" s="8">
        <f t="shared" si="4"/>
        <v>1117.96954779661</v>
      </c>
      <c r="G103" s="8">
        <f t="shared" si="5"/>
        <v>0.11179695477966099</v>
      </c>
    </row>
    <row r="104" spans="1:7" x14ac:dyDescent="0.25">
      <c r="A104" s="1">
        <v>102000</v>
      </c>
      <c r="B104" s="2">
        <v>108</v>
      </c>
      <c r="C104" s="2">
        <f>Table1456[[#This Row],[Elev_CEM1]]-B109</f>
        <v>12</v>
      </c>
      <c r="D104" s="8">
        <f>Table1456[[#This Row],[distance]]/$A$179</f>
        <v>0.57627118644067798</v>
      </c>
      <c r="E104" s="8">
        <f t="shared" si="3"/>
        <v>12.309152542372882</v>
      </c>
      <c r="F104" s="8">
        <f t="shared" si="4"/>
        <v>1026.3986847457627</v>
      </c>
      <c r="G104" s="8">
        <f t="shared" si="5"/>
        <v>0.10263986847457628</v>
      </c>
    </row>
    <row r="105" spans="1:7" x14ac:dyDescent="0.25">
      <c r="A105" s="1">
        <v>103000</v>
      </c>
      <c r="B105" s="2">
        <v>107</v>
      </c>
      <c r="C105" s="2">
        <f>Table1456[[#This Row],[Elev_CEM1]]-B110</f>
        <v>0</v>
      </c>
      <c r="D105" s="8">
        <f>Table1456[[#This Row],[distance]]/$A$179</f>
        <v>0.58192090395480223</v>
      </c>
      <c r="E105" s="8">
        <f t="shared" si="3"/>
        <v>12.429830508474575</v>
      </c>
      <c r="F105" s="8">
        <f t="shared" si="4"/>
        <v>725.52299186440666</v>
      </c>
      <c r="G105" s="8">
        <f t="shared" si="5"/>
        <v>7.2552299186440669E-2</v>
      </c>
    </row>
    <row r="106" spans="1:7" x14ac:dyDescent="0.25">
      <c r="A106" s="1">
        <v>104000</v>
      </c>
      <c r="B106" s="2">
        <v>108</v>
      </c>
      <c r="C106" s="2">
        <f>Table1456[[#This Row],[Elev_CEM1]]-B111</f>
        <v>18</v>
      </c>
      <c r="D106" s="8">
        <f>Table1456[[#This Row],[distance]]/$A$179</f>
        <v>0.58757062146892658</v>
      </c>
      <c r="E106" s="8">
        <f t="shared" si="3"/>
        <v>12.550508474576272</v>
      </c>
      <c r="F106" s="8">
        <f t="shared" si="4"/>
        <v>1779.0910535593223</v>
      </c>
      <c r="G106" s="8">
        <f t="shared" si="5"/>
        <v>0.17790910535593224</v>
      </c>
    </row>
    <row r="107" spans="1:7" x14ac:dyDescent="0.25">
      <c r="A107" s="1">
        <v>105000</v>
      </c>
      <c r="B107" s="2">
        <v>103</v>
      </c>
      <c r="C107" s="2">
        <f>Table1456[[#This Row],[Elev_CEM1]]-B112</f>
        <v>14</v>
      </c>
      <c r="D107" s="8">
        <f>Table1456[[#This Row],[distance]]/$A$179</f>
        <v>0.59322033898305082</v>
      </c>
      <c r="E107" s="8">
        <f t="shared" si="3"/>
        <v>12.671186440677966</v>
      </c>
      <c r="F107" s="8">
        <f t="shared" si="4"/>
        <v>845.26950508474567</v>
      </c>
      <c r="G107" s="8">
        <f t="shared" si="5"/>
        <v>8.4526950508474571E-2</v>
      </c>
    </row>
    <row r="108" spans="1:7" x14ac:dyDescent="0.25">
      <c r="A108" s="1">
        <v>106000</v>
      </c>
      <c r="B108" s="2">
        <v>98</v>
      </c>
      <c r="C108" s="2">
        <f>Table1456[[#This Row],[Elev_CEM1]]-B113</f>
        <v>11</v>
      </c>
      <c r="D108" s="8">
        <f>Table1456[[#This Row],[distance]]/$A$179</f>
        <v>0.59887005649717517</v>
      </c>
      <c r="E108" s="8">
        <f t="shared" si="3"/>
        <v>12.791864406779661</v>
      </c>
      <c r="F108" s="8">
        <f t="shared" si="4"/>
        <v>1599.974420338983</v>
      </c>
      <c r="G108" s="8">
        <f t="shared" si="5"/>
        <v>0.15999744203389829</v>
      </c>
    </row>
    <row r="109" spans="1:7" x14ac:dyDescent="0.25">
      <c r="A109" s="1">
        <v>107000</v>
      </c>
      <c r="B109" s="2">
        <v>96</v>
      </c>
      <c r="C109" s="2">
        <f>Table1456[[#This Row],[Elev_CEM1]]-B114</f>
        <v>3</v>
      </c>
      <c r="D109" s="8">
        <f>Table1456[[#This Row],[distance]]/$A$179</f>
        <v>0.60451977401129942</v>
      </c>
      <c r="E109" s="8">
        <f t="shared" si="3"/>
        <v>12.912542372881354</v>
      </c>
      <c r="F109" s="8">
        <f t="shared" si="4"/>
        <v>1292.0548149152542</v>
      </c>
      <c r="G109" s="8">
        <f t="shared" si="5"/>
        <v>0.12920548149152541</v>
      </c>
    </row>
    <row r="110" spans="1:7" x14ac:dyDescent="0.25">
      <c r="A110" s="1">
        <v>108000</v>
      </c>
      <c r="B110" s="2">
        <v>107</v>
      </c>
      <c r="C110" s="2">
        <f>Table1456[[#This Row],[Elev_CEM1]]-B115</f>
        <v>14</v>
      </c>
      <c r="D110" s="8">
        <f>Table1456[[#This Row],[distance]]/$A$179</f>
        <v>0.61016949152542377</v>
      </c>
      <c r="E110" s="8">
        <f t="shared" si="3"/>
        <v>13.033220338983051</v>
      </c>
      <c r="F110" s="8">
        <f t="shared" si="4"/>
        <v>0</v>
      </c>
      <c r="G110" s="8">
        <f t="shared" si="5"/>
        <v>0</v>
      </c>
    </row>
    <row r="111" spans="1:7" x14ac:dyDescent="0.25">
      <c r="A111" s="1">
        <v>109000</v>
      </c>
      <c r="B111" s="2">
        <v>90</v>
      </c>
      <c r="C111" s="2">
        <f>Table1456[[#This Row],[Elev_CEM1]]-B116</f>
        <v>7</v>
      </c>
      <c r="D111" s="8">
        <f>Table1456[[#This Row],[distance]]/$A$179</f>
        <v>0.61581920903954801</v>
      </c>
      <c r="E111" s="8">
        <f t="shared" si="3"/>
        <v>13.153898305084745</v>
      </c>
      <c r="F111" s="8">
        <f t="shared" si="4"/>
        <v>1974.3080583050846</v>
      </c>
      <c r="G111" s="8">
        <f t="shared" si="5"/>
        <v>0.19743080583050845</v>
      </c>
    </row>
    <row r="112" spans="1:7" x14ac:dyDescent="0.25">
      <c r="A112" s="1">
        <v>110000</v>
      </c>
      <c r="B112" s="2">
        <v>89</v>
      </c>
      <c r="C112" s="2">
        <f>Table1456[[#This Row],[Elev_CEM1]]-B117</f>
        <v>6</v>
      </c>
      <c r="D112" s="8">
        <f>Table1456[[#This Row],[distance]]/$A$179</f>
        <v>0.62146892655367236</v>
      </c>
      <c r="E112" s="8">
        <f t="shared" si="3"/>
        <v>13.274576271186442</v>
      </c>
      <c r="F112" s="8">
        <f t="shared" si="4"/>
        <v>1549.6607593220344</v>
      </c>
      <c r="G112" s="8">
        <f t="shared" si="5"/>
        <v>0.15496607593220343</v>
      </c>
    </row>
    <row r="113" spans="1:7" x14ac:dyDescent="0.25">
      <c r="A113" s="1">
        <v>111000</v>
      </c>
      <c r="B113" s="2">
        <v>87</v>
      </c>
      <c r="C113" s="2">
        <f>Table1456[[#This Row],[Elev_CEM1]]-B118</f>
        <v>5</v>
      </c>
      <c r="D113" s="8">
        <f>Table1456[[#This Row],[distance]]/$A$179</f>
        <v>0.6271186440677966</v>
      </c>
      <c r="E113" s="8">
        <f t="shared" si="3"/>
        <v>13.395254237288135</v>
      </c>
      <c r="F113" s="8">
        <f t="shared" si="4"/>
        <v>1228.6596020338982</v>
      </c>
      <c r="G113" s="8">
        <f t="shared" si="5"/>
        <v>0.12286596020338982</v>
      </c>
    </row>
    <row r="114" spans="1:7" x14ac:dyDescent="0.25">
      <c r="A114" s="1">
        <v>112000</v>
      </c>
      <c r="B114" s="2">
        <v>93</v>
      </c>
      <c r="C114" s="2">
        <f>Table1456[[#This Row],[Elev_CEM1]]-B119</f>
        <v>9</v>
      </c>
      <c r="D114" s="8">
        <f>Table1456[[#This Row],[distance]]/$A$179</f>
        <v>0.63276836158192096</v>
      </c>
      <c r="E114" s="8">
        <f t="shared" si="3"/>
        <v>13.515932203389831</v>
      </c>
      <c r="F114" s="8">
        <f t="shared" si="4"/>
        <v>338.10780203389828</v>
      </c>
      <c r="G114" s="8">
        <f t="shared" si="5"/>
        <v>3.3810780203389831E-2</v>
      </c>
    </row>
    <row r="115" spans="1:7" x14ac:dyDescent="0.25">
      <c r="A115" s="1">
        <v>113000</v>
      </c>
      <c r="B115" s="2">
        <v>93</v>
      </c>
      <c r="C115" s="2">
        <f>Table1456[[#This Row],[Elev_CEM1]]-B120</f>
        <v>16</v>
      </c>
      <c r="D115" s="8">
        <f>Table1456[[#This Row],[distance]]/$A$179</f>
        <v>0.6384180790960452</v>
      </c>
      <c r="E115" s="8">
        <f t="shared" si="3"/>
        <v>13.636610169491526</v>
      </c>
      <c r="F115" s="8">
        <f t="shared" si="4"/>
        <v>1591.9242345762711</v>
      </c>
      <c r="G115" s="8">
        <f t="shared" si="5"/>
        <v>0.1591924234576271</v>
      </c>
    </row>
    <row r="116" spans="1:7" x14ac:dyDescent="0.25">
      <c r="A116" s="1">
        <v>114000</v>
      </c>
      <c r="B116" s="2">
        <v>83</v>
      </c>
      <c r="C116" s="2">
        <f>Table1456[[#This Row],[Elev_CEM1]]-B121</f>
        <v>3</v>
      </c>
      <c r="D116" s="8">
        <f>Table1456[[#This Row],[distance]]/$A$179</f>
        <v>0.64406779661016944</v>
      </c>
      <c r="E116" s="8">
        <f t="shared" si="3"/>
        <v>13.757288135593219</v>
      </c>
      <c r="F116" s="8">
        <f t="shared" si="4"/>
        <v>803.00602983050851</v>
      </c>
      <c r="G116" s="8">
        <f t="shared" si="5"/>
        <v>8.0300602983050848E-2</v>
      </c>
    </row>
    <row r="117" spans="1:7" x14ac:dyDescent="0.25">
      <c r="A117" s="1">
        <v>115000</v>
      </c>
      <c r="B117" s="2">
        <v>83</v>
      </c>
      <c r="C117" s="2">
        <f>Table1456[[#This Row],[Elev_CEM1]]-B122</f>
        <v>5</v>
      </c>
      <c r="D117" s="8">
        <f>Table1456[[#This Row],[distance]]/$A$179</f>
        <v>0.64971751412429379</v>
      </c>
      <c r="E117" s="8">
        <f t="shared" si="3"/>
        <v>13.877966101694915</v>
      </c>
      <c r="F117" s="8">
        <f t="shared" si="4"/>
        <v>694.32852203389837</v>
      </c>
      <c r="G117" s="8">
        <f t="shared" si="5"/>
        <v>6.9432852203389836E-2</v>
      </c>
    </row>
    <row r="118" spans="1:7" x14ac:dyDescent="0.25">
      <c r="A118" s="1">
        <v>116000</v>
      </c>
      <c r="B118" s="2">
        <v>82</v>
      </c>
      <c r="C118" s="2">
        <f>Table1456[[#This Row],[Elev_CEM1]]-B123</f>
        <v>7</v>
      </c>
      <c r="D118" s="8">
        <f>Table1456[[#This Row],[distance]]/$A$179</f>
        <v>0.65536723163841804</v>
      </c>
      <c r="E118" s="8">
        <f t="shared" si="3"/>
        <v>13.99864406779661</v>
      </c>
      <c r="F118" s="8">
        <f t="shared" si="4"/>
        <v>583.63846779661026</v>
      </c>
      <c r="G118" s="8">
        <f t="shared" si="5"/>
        <v>5.8363846779661027E-2</v>
      </c>
    </row>
    <row r="119" spans="1:7" x14ac:dyDescent="0.25">
      <c r="A119" s="1">
        <v>117000</v>
      </c>
      <c r="B119" s="2">
        <v>84</v>
      </c>
      <c r="C119" s="2">
        <f>Table1456[[#This Row],[Elev_CEM1]]-B124</f>
        <v>11</v>
      </c>
      <c r="D119" s="8">
        <f>Table1456[[#This Row],[distance]]/$A$179</f>
        <v>0.66101694915254239</v>
      </c>
      <c r="E119" s="8">
        <f t="shared" si="3"/>
        <v>14.119322033898305</v>
      </c>
      <c r="F119" s="8">
        <f t="shared" si="4"/>
        <v>1059.6057010169493</v>
      </c>
      <c r="G119" s="8">
        <f t="shared" si="5"/>
        <v>0.10596057010169493</v>
      </c>
    </row>
    <row r="120" spans="1:7" x14ac:dyDescent="0.25">
      <c r="A120" s="1">
        <v>118000</v>
      </c>
      <c r="B120" s="2">
        <v>77</v>
      </c>
      <c r="C120" s="2">
        <f>Table1456[[#This Row],[Elev_CEM1]]-B125</f>
        <v>1</v>
      </c>
      <c r="D120" s="8">
        <f>Table1456[[#This Row],[distance]]/$A$179</f>
        <v>0.66666666666666663</v>
      </c>
      <c r="E120" s="8">
        <f t="shared" si="3"/>
        <v>14.239999999999998</v>
      </c>
      <c r="F120" s="8">
        <f t="shared" si="4"/>
        <v>1899.8438399999998</v>
      </c>
      <c r="G120" s="8">
        <f t="shared" si="5"/>
        <v>0.18998438399999998</v>
      </c>
    </row>
    <row r="121" spans="1:7" x14ac:dyDescent="0.25">
      <c r="A121" s="1">
        <v>119000</v>
      </c>
      <c r="B121" s="2">
        <v>80</v>
      </c>
      <c r="C121" s="2">
        <f>Table1456[[#This Row],[Elev_CEM1]]-B126</f>
        <v>0</v>
      </c>
      <c r="D121" s="8">
        <f>Table1456[[#This Row],[distance]]/$A$179</f>
        <v>0.67231638418079098</v>
      </c>
      <c r="E121" s="8">
        <f t="shared" si="3"/>
        <v>14.360677966101695</v>
      </c>
      <c r="F121" s="8">
        <f t="shared" si="4"/>
        <v>359.23953966101703</v>
      </c>
      <c r="G121" s="8">
        <f t="shared" si="5"/>
        <v>3.59239539661017E-2</v>
      </c>
    </row>
    <row r="122" spans="1:7" x14ac:dyDescent="0.25">
      <c r="A122" s="1">
        <v>120000</v>
      </c>
      <c r="B122" s="2">
        <v>78</v>
      </c>
      <c r="C122" s="2">
        <f>Table1456[[#This Row],[Elev_CEM1]]-B127</f>
        <v>8</v>
      </c>
      <c r="D122" s="8">
        <f>Table1456[[#This Row],[distance]]/$A$179</f>
        <v>0.67796610169491522</v>
      </c>
      <c r="E122" s="8">
        <f t="shared" si="3"/>
        <v>14.481355932203389</v>
      </c>
      <c r="F122" s="8">
        <f t="shared" si="4"/>
        <v>603.7639322033898</v>
      </c>
      <c r="G122" s="8">
        <f t="shared" si="5"/>
        <v>6.0376393220338977E-2</v>
      </c>
    </row>
    <row r="123" spans="1:7" x14ac:dyDescent="0.25">
      <c r="A123" s="1">
        <v>121000</v>
      </c>
      <c r="B123" s="2">
        <v>75</v>
      </c>
      <c r="C123" s="2">
        <f>Table1456[[#This Row],[Elev_CEM1]]-B128</f>
        <v>-1</v>
      </c>
      <c r="D123" s="8">
        <f>Table1456[[#This Row],[distance]]/$A$179</f>
        <v>0.68361581920903958</v>
      </c>
      <c r="E123" s="8">
        <f t="shared" si="3"/>
        <v>14.602033898305084</v>
      </c>
      <c r="F123" s="8">
        <f t="shared" si="4"/>
        <v>852.3134176271185</v>
      </c>
      <c r="G123" s="8">
        <f t="shared" si="5"/>
        <v>8.5231341762711854E-2</v>
      </c>
    </row>
    <row r="124" spans="1:7" x14ac:dyDescent="0.25">
      <c r="A124" s="1">
        <v>122000</v>
      </c>
      <c r="B124" s="2">
        <v>73</v>
      </c>
      <c r="C124" s="2">
        <f>Table1456[[#This Row],[Elev_CEM1]]-B129</f>
        <v>1</v>
      </c>
      <c r="D124" s="8">
        <f>Table1456[[#This Row],[distance]]/$A$179</f>
        <v>0.68926553672316382</v>
      </c>
      <c r="E124" s="8">
        <f t="shared" si="3"/>
        <v>14.722711864406779</v>
      </c>
      <c r="F124" s="8">
        <f t="shared" si="4"/>
        <v>1350.4186616949153</v>
      </c>
      <c r="G124" s="8">
        <f t="shared" si="5"/>
        <v>0.13504186616949151</v>
      </c>
    </row>
    <row r="125" spans="1:7" x14ac:dyDescent="0.25">
      <c r="A125" s="1">
        <v>123000</v>
      </c>
      <c r="B125" s="2">
        <v>76</v>
      </c>
      <c r="C125" s="2">
        <f>Table1456[[#This Row],[Elev_CEM1]]-B130</f>
        <v>8</v>
      </c>
      <c r="D125" s="8">
        <f>Table1456[[#This Row],[distance]]/$A$179</f>
        <v>0.69491525423728817</v>
      </c>
      <c r="E125" s="8">
        <f t="shared" si="3"/>
        <v>14.843389830508475</v>
      </c>
      <c r="F125" s="8">
        <f t="shared" si="4"/>
        <v>123.77160610169491</v>
      </c>
      <c r="G125" s="8">
        <f t="shared" si="5"/>
        <v>1.2377160610169491E-2</v>
      </c>
    </row>
    <row r="126" spans="1:7" x14ac:dyDescent="0.25">
      <c r="A126" s="1">
        <v>124000</v>
      </c>
      <c r="B126" s="2">
        <v>80</v>
      </c>
      <c r="C126" s="2">
        <f>Table1456[[#This Row],[Elev_CEM1]]-B131</f>
        <v>13</v>
      </c>
      <c r="D126" s="8">
        <f>Table1456[[#This Row],[distance]]/$A$179</f>
        <v>0.70056497175141241</v>
      </c>
      <c r="E126" s="8">
        <f t="shared" si="3"/>
        <v>14.964067796610168</v>
      </c>
      <c r="F126" s="8">
        <f t="shared" si="4"/>
        <v>0</v>
      </c>
      <c r="G126" s="8">
        <f t="shared" si="5"/>
        <v>0</v>
      </c>
    </row>
    <row r="127" spans="1:7" x14ac:dyDescent="0.25">
      <c r="A127" s="1">
        <v>125000</v>
      </c>
      <c r="B127" s="2">
        <v>70</v>
      </c>
      <c r="C127" s="2">
        <f>Table1456[[#This Row],[Elev_CEM1]]-B132</f>
        <v>7</v>
      </c>
      <c r="D127" s="8">
        <f>Table1456[[#This Row],[distance]]/$A$179</f>
        <v>0.70621468926553677</v>
      </c>
      <c r="E127" s="8">
        <f t="shared" si="3"/>
        <v>15.084745762711865</v>
      </c>
      <c r="F127" s="8">
        <f t="shared" si="4"/>
        <v>1006.2732203389833</v>
      </c>
      <c r="G127" s="8">
        <f t="shared" si="5"/>
        <v>0.10062732203389832</v>
      </c>
    </row>
    <row r="128" spans="1:7" x14ac:dyDescent="0.25">
      <c r="A128" s="1">
        <v>126000</v>
      </c>
      <c r="B128" s="2">
        <v>76</v>
      </c>
      <c r="C128" s="2">
        <f>Table1456[[#This Row],[Elev_CEM1]]-B133</f>
        <v>5</v>
      </c>
      <c r="D128" s="8">
        <f>Table1456[[#This Row],[distance]]/$A$179</f>
        <v>0.71186440677966101</v>
      </c>
      <c r="E128" s="8">
        <f t="shared" si="3"/>
        <v>15.205423728813559</v>
      </c>
      <c r="F128" s="8">
        <f t="shared" si="4"/>
        <v>-126.79042576271186</v>
      </c>
      <c r="G128" s="8">
        <f t="shared" si="5"/>
        <v>-1.2679042576271187E-2</v>
      </c>
    </row>
    <row r="129" spans="1:7" x14ac:dyDescent="0.25">
      <c r="A129" s="1">
        <v>127000</v>
      </c>
      <c r="B129" s="2">
        <v>72</v>
      </c>
      <c r="C129" s="2">
        <f>Table1456[[#This Row],[Elev_CEM1]]-B134</f>
        <v>4</v>
      </c>
      <c r="D129" s="8">
        <f>Table1456[[#This Row],[distance]]/$A$179</f>
        <v>0.71751412429378536</v>
      </c>
      <c r="E129" s="8">
        <f t="shared" si="3"/>
        <v>15.326101694915256</v>
      </c>
      <c r="F129" s="8">
        <f t="shared" si="4"/>
        <v>127.79669898305087</v>
      </c>
      <c r="G129" s="8">
        <f t="shared" si="5"/>
        <v>1.2779669898305087E-2</v>
      </c>
    </row>
    <row r="130" spans="1:7" x14ac:dyDescent="0.25">
      <c r="A130" s="1">
        <v>128000</v>
      </c>
      <c r="B130" s="2">
        <v>68</v>
      </c>
      <c r="C130" s="2">
        <f>Table1456[[#This Row],[Elev_CEM1]]-B135</f>
        <v>-6</v>
      </c>
      <c r="D130" s="8">
        <f>Table1456[[#This Row],[distance]]/$A$179</f>
        <v>0.7231638418079096</v>
      </c>
      <c r="E130" s="8">
        <f t="shared" ref="E130:E179" si="6">21.36*D130</f>
        <v>15.446779661016949</v>
      </c>
      <c r="F130" s="8">
        <f t="shared" si="4"/>
        <v>1030.4237776271189</v>
      </c>
      <c r="G130" s="8">
        <f t="shared" si="5"/>
        <v>0.10304237776271188</v>
      </c>
    </row>
    <row r="131" spans="1:7" x14ac:dyDescent="0.25">
      <c r="A131" s="1">
        <v>129000</v>
      </c>
      <c r="B131" s="2">
        <v>67</v>
      </c>
      <c r="C131" s="2">
        <f>Table1456[[#This Row],[Elev_CEM1]]-B136</f>
        <v>-2</v>
      </c>
      <c r="D131" s="8">
        <f>Table1456[[#This Row],[distance]]/$A$179</f>
        <v>0.72881355932203384</v>
      </c>
      <c r="E131" s="8">
        <f t="shared" si="6"/>
        <v>15.567457627118642</v>
      </c>
      <c r="F131" s="8">
        <f t="shared" si="4"/>
        <v>1687.5201905084743</v>
      </c>
      <c r="G131" s="8">
        <f t="shared" si="5"/>
        <v>0.16875201905084744</v>
      </c>
    </row>
    <row r="132" spans="1:7" x14ac:dyDescent="0.25">
      <c r="A132" s="1">
        <v>130000</v>
      </c>
      <c r="B132" s="2">
        <v>63</v>
      </c>
      <c r="C132" s="2">
        <f>Table1456[[#This Row],[Elev_CEM1]]-B137</f>
        <v>-3</v>
      </c>
      <c r="D132" s="8">
        <f>Table1456[[#This Row],[distance]]/$A$179</f>
        <v>0.7344632768361582</v>
      </c>
      <c r="E132" s="8">
        <f t="shared" si="6"/>
        <v>15.688135593220339</v>
      </c>
      <c r="F132" s="8">
        <f t="shared" si="4"/>
        <v>915.70863050847458</v>
      </c>
      <c r="G132" s="8">
        <f t="shared" si="5"/>
        <v>9.1570863050847454E-2</v>
      </c>
    </row>
    <row r="133" spans="1:7" x14ac:dyDescent="0.25">
      <c r="A133" s="1">
        <v>131000</v>
      </c>
      <c r="B133" s="2">
        <v>71</v>
      </c>
      <c r="C133" s="2">
        <f>Table1456[[#This Row],[Elev_CEM1]]-B138</f>
        <v>5</v>
      </c>
      <c r="D133" s="8">
        <f>Table1456[[#This Row],[distance]]/$A$179</f>
        <v>0.74011299435028244</v>
      </c>
      <c r="E133" s="8">
        <f t="shared" si="6"/>
        <v>15.808813559322033</v>
      </c>
      <c r="F133" s="8">
        <f t="shared" si="4"/>
        <v>659.10895932203391</v>
      </c>
      <c r="G133" s="8">
        <f t="shared" si="5"/>
        <v>6.5910895932203395E-2</v>
      </c>
    </row>
    <row r="134" spans="1:7" x14ac:dyDescent="0.25">
      <c r="A134" s="1">
        <v>132000</v>
      </c>
      <c r="B134" s="2">
        <v>68</v>
      </c>
      <c r="C134" s="2">
        <f>Table1456[[#This Row],[Elev_CEM1]]-B139</f>
        <v>2</v>
      </c>
      <c r="D134" s="8">
        <f>Table1456[[#This Row],[distance]]/$A$179</f>
        <v>0.74576271186440679</v>
      </c>
      <c r="E134" s="8">
        <f t="shared" si="6"/>
        <v>15.929491525423728</v>
      </c>
      <c r="F134" s="8">
        <f t="shared" si="4"/>
        <v>531.31226033898304</v>
      </c>
      <c r="G134" s="8">
        <f t="shared" si="5"/>
        <v>5.3131226033898304E-2</v>
      </c>
    </row>
    <row r="135" spans="1:7" x14ac:dyDescent="0.25">
      <c r="A135" s="1">
        <v>133000</v>
      </c>
      <c r="B135" s="2">
        <v>74</v>
      </c>
      <c r="C135" s="2">
        <f>Table1456[[#This Row],[Elev_CEM1]]-B140</f>
        <v>12</v>
      </c>
      <c r="D135" s="8">
        <f>Table1456[[#This Row],[distance]]/$A$179</f>
        <v>0.75141242937853103</v>
      </c>
      <c r="E135" s="8">
        <f t="shared" si="6"/>
        <v>16.050169491525423</v>
      </c>
      <c r="F135" s="8">
        <f t="shared" si="4"/>
        <v>-803.00602983050851</v>
      </c>
      <c r="G135" s="8">
        <f t="shared" si="5"/>
        <v>-8.0300602983050848E-2</v>
      </c>
    </row>
    <row r="136" spans="1:7" x14ac:dyDescent="0.25">
      <c r="A136" s="1">
        <v>134000</v>
      </c>
      <c r="B136" s="2">
        <v>69</v>
      </c>
      <c r="C136" s="2">
        <f>Table1456[[#This Row],[Elev_CEM1]]-B141</f>
        <v>-1</v>
      </c>
      <c r="D136" s="8">
        <f>Table1456[[#This Row],[distance]]/$A$179</f>
        <v>0.75706214689265539</v>
      </c>
      <c r="E136" s="8">
        <f t="shared" si="6"/>
        <v>16.170847457627119</v>
      </c>
      <c r="F136" s="8">
        <f t="shared" ref="F136:F179" si="7">(1000*E136*C131*0.85*9.81)/1000</f>
        <v>-269.68122305084745</v>
      </c>
      <c r="G136" s="8">
        <f t="shared" ref="G136:G179" si="8">F136/10000</f>
        <v>-2.6968122305084746E-2</v>
      </c>
    </row>
    <row r="137" spans="1:7" x14ac:dyDescent="0.25">
      <c r="A137" s="1">
        <v>135000</v>
      </c>
      <c r="B137" s="2">
        <v>66</v>
      </c>
      <c r="C137" s="2">
        <f>Table1456[[#This Row],[Elev_CEM1]]-B142</f>
        <v>2</v>
      </c>
      <c r="D137" s="8">
        <f>Table1456[[#This Row],[distance]]/$A$179</f>
        <v>0.76271186440677963</v>
      </c>
      <c r="E137" s="8">
        <f t="shared" si="6"/>
        <v>16.291525423728814</v>
      </c>
      <c r="F137" s="8">
        <f t="shared" si="7"/>
        <v>-407.54065423728815</v>
      </c>
      <c r="G137" s="8">
        <f t="shared" si="8"/>
        <v>-4.0754065423728815E-2</v>
      </c>
    </row>
    <row r="138" spans="1:7" x14ac:dyDescent="0.25">
      <c r="A138" s="1">
        <v>136000</v>
      </c>
      <c r="B138" s="2">
        <v>66</v>
      </c>
      <c r="C138" s="2">
        <f>Table1456[[#This Row],[Elev_CEM1]]-B143</f>
        <v>-7</v>
      </c>
      <c r="D138" s="8">
        <f>Table1456[[#This Row],[distance]]/$A$179</f>
        <v>0.76836158192090398</v>
      </c>
      <c r="E138" s="8">
        <f t="shared" si="6"/>
        <v>16.412203389830509</v>
      </c>
      <c r="F138" s="8">
        <f t="shared" si="7"/>
        <v>684.26578983050842</v>
      </c>
      <c r="G138" s="8">
        <f t="shared" si="8"/>
        <v>6.8426578983050837E-2</v>
      </c>
    </row>
    <row r="139" spans="1:7" x14ac:dyDescent="0.25">
      <c r="A139" s="1">
        <v>137000</v>
      </c>
      <c r="B139" s="2">
        <v>66</v>
      </c>
      <c r="C139" s="2">
        <f>Table1456[[#This Row],[Elev_CEM1]]-B144</f>
        <v>3</v>
      </c>
      <c r="D139" s="8">
        <f>Table1456[[#This Row],[distance]]/$A$179</f>
        <v>0.77401129943502822</v>
      </c>
      <c r="E139" s="8">
        <f t="shared" si="6"/>
        <v>16.532881355932201</v>
      </c>
      <c r="F139" s="8">
        <f t="shared" si="7"/>
        <v>275.71886237288135</v>
      </c>
      <c r="G139" s="8">
        <f t="shared" si="8"/>
        <v>2.7571886237288134E-2</v>
      </c>
    </row>
    <row r="140" spans="1:7" x14ac:dyDescent="0.25">
      <c r="A140" s="1">
        <v>138000</v>
      </c>
      <c r="B140" s="2">
        <v>62</v>
      </c>
      <c r="C140" s="2">
        <f>Table1456[[#This Row],[Elev_CEM1]]-B145</f>
        <v>-6</v>
      </c>
      <c r="D140" s="8">
        <f>Table1456[[#This Row],[distance]]/$A$179</f>
        <v>0.77966101694915257</v>
      </c>
      <c r="E140" s="8">
        <f t="shared" si="6"/>
        <v>16.6535593220339</v>
      </c>
      <c r="F140" s="8">
        <f t="shared" si="7"/>
        <v>1666.3884528813562</v>
      </c>
      <c r="G140" s="8">
        <f t="shared" si="8"/>
        <v>0.16663884528813563</v>
      </c>
    </row>
    <row r="141" spans="1:7" x14ac:dyDescent="0.25">
      <c r="A141" s="1">
        <v>139000</v>
      </c>
      <c r="B141" s="2">
        <v>70</v>
      </c>
      <c r="C141" s="2">
        <f>Table1456[[#This Row],[Elev_CEM1]]-B146</f>
        <v>16</v>
      </c>
      <c r="D141" s="8">
        <f>Table1456[[#This Row],[distance]]/$A$179</f>
        <v>0.78531073446327682</v>
      </c>
      <c r="E141" s="8">
        <f t="shared" si="6"/>
        <v>16.774237288135591</v>
      </c>
      <c r="F141" s="8">
        <f t="shared" si="7"/>
        <v>-139.87197762711864</v>
      </c>
      <c r="G141" s="8">
        <f t="shared" si="8"/>
        <v>-1.3987197762711864E-2</v>
      </c>
    </row>
    <row r="142" spans="1:7" x14ac:dyDescent="0.25">
      <c r="A142" s="1">
        <v>140000</v>
      </c>
      <c r="B142" s="2">
        <v>64</v>
      </c>
      <c r="C142" s="2">
        <f>Table1456[[#This Row],[Elev_CEM1]]-B147</f>
        <v>-1</v>
      </c>
      <c r="D142" s="8">
        <f>Table1456[[#This Row],[distance]]/$A$179</f>
        <v>0.79096045197740117</v>
      </c>
      <c r="E142" s="8">
        <f t="shared" si="6"/>
        <v>16.89491525423729</v>
      </c>
      <c r="F142" s="8">
        <f t="shared" si="7"/>
        <v>281.7565016949153</v>
      </c>
      <c r="G142" s="8">
        <f t="shared" si="8"/>
        <v>2.8175650169491528E-2</v>
      </c>
    </row>
    <row r="143" spans="1:7" x14ac:dyDescent="0.25">
      <c r="A143" s="1">
        <v>141000</v>
      </c>
      <c r="B143" s="2">
        <v>73</v>
      </c>
      <c r="C143" s="2">
        <f>Table1456[[#This Row],[Elev_CEM1]]-B148</f>
        <v>11</v>
      </c>
      <c r="D143" s="8">
        <f>Table1456[[#This Row],[distance]]/$A$179</f>
        <v>0.79661016949152541</v>
      </c>
      <c r="E143" s="8">
        <f t="shared" si="6"/>
        <v>17.015593220338982</v>
      </c>
      <c r="F143" s="8">
        <f t="shared" si="7"/>
        <v>-993.19166847457632</v>
      </c>
      <c r="G143" s="8">
        <f t="shared" si="8"/>
        <v>-9.9319166847457632E-2</v>
      </c>
    </row>
    <row r="144" spans="1:7" x14ac:dyDescent="0.25">
      <c r="A144" s="1">
        <v>142000</v>
      </c>
      <c r="B144" s="2">
        <v>63</v>
      </c>
      <c r="C144" s="2">
        <f>Table1456[[#This Row],[Elev_CEM1]]-B149</f>
        <v>1</v>
      </c>
      <c r="D144" s="8">
        <f>Table1456[[#This Row],[distance]]/$A$179</f>
        <v>0.80225988700564976</v>
      </c>
      <c r="E144" s="8">
        <f t="shared" si="6"/>
        <v>17.136271186440677</v>
      </c>
      <c r="F144" s="8">
        <f t="shared" si="7"/>
        <v>428.67239186440679</v>
      </c>
      <c r="G144" s="8">
        <f t="shared" si="8"/>
        <v>4.2867239186440677E-2</v>
      </c>
    </row>
    <row r="145" spans="1:7" x14ac:dyDescent="0.25">
      <c r="A145" s="1">
        <v>143000</v>
      </c>
      <c r="B145" s="2">
        <v>68</v>
      </c>
      <c r="C145" s="2">
        <f>Table1456[[#This Row],[Elev_CEM1]]-B150</f>
        <v>3</v>
      </c>
      <c r="D145" s="8">
        <f>Table1456[[#This Row],[distance]]/$A$179</f>
        <v>0.80790960451977401</v>
      </c>
      <c r="E145" s="8">
        <f t="shared" si="6"/>
        <v>17.256949152542372</v>
      </c>
      <c r="F145" s="8">
        <f t="shared" si="7"/>
        <v>-863.38242305084736</v>
      </c>
      <c r="G145" s="8">
        <f t="shared" si="8"/>
        <v>-8.6338242305084731E-2</v>
      </c>
    </row>
    <row r="146" spans="1:7" x14ac:dyDescent="0.25">
      <c r="A146" s="1">
        <v>144000</v>
      </c>
      <c r="B146" s="2">
        <v>54</v>
      </c>
      <c r="C146" s="2">
        <f>Table1456[[#This Row],[Elev_CEM1]]-B151</f>
        <v>-11</v>
      </c>
      <c r="D146" s="8">
        <f>Table1456[[#This Row],[distance]]/$A$179</f>
        <v>0.81355932203389836</v>
      </c>
      <c r="E146" s="8">
        <f t="shared" si="6"/>
        <v>17.377627118644067</v>
      </c>
      <c r="F146" s="8">
        <f t="shared" si="7"/>
        <v>2318.4534996610168</v>
      </c>
      <c r="G146" s="8">
        <f t="shared" si="8"/>
        <v>0.23184534996610168</v>
      </c>
    </row>
    <row r="147" spans="1:7" x14ac:dyDescent="0.25">
      <c r="A147" s="1">
        <v>145000</v>
      </c>
      <c r="B147" s="2">
        <v>65</v>
      </c>
      <c r="C147" s="2">
        <f>Table1456[[#This Row],[Elev_CEM1]]-B152</f>
        <v>2</v>
      </c>
      <c r="D147" s="8">
        <f>Table1456[[#This Row],[distance]]/$A$179</f>
        <v>0.8192090395480226</v>
      </c>
      <c r="E147" s="8">
        <f t="shared" si="6"/>
        <v>17.498305084745763</v>
      </c>
      <c r="F147" s="8">
        <f t="shared" si="7"/>
        <v>-145.90961694915256</v>
      </c>
      <c r="G147" s="8">
        <f t="shared" si="8"/>
        <v>-1.4590961694915257E-2</v>
      </c>
    </row>
    <row r="148" spans="1:7" x14ac:dyDescent="0.25">
      <c r="A148" s="1">
        <v>146000</v>
      </c>
      <c r="B148" s="2">
        <v>62</v>
      </c>
      <c r="C148" s="2">
        <f>Table1456[[#This Row],[Elev_CEM1]]-B153</f>
        <v>8</v>
      </c>
      <c r="D148" s="8">
        <f>Table1456[[#This Row],[distance]]/$A$179</f>
        <v>0.82485875706214684</v>
      </c>
      <c r="E148" s="8">
        <f t="shared" si="6"/>
        <v>17.618983050847454</v>
      </c>
      <c r="F148" s="8">
        <f t="shared" si="7"/>
        <v>1616.0747918644067</v>
      </c>
      <c r="G148" s="8">
        <f t="shared" si="8"/>
        <v>0.16160747918644067</v>
      </c>
    </row>
    <row r="149" spans="1:7" x14ac:dyDescent="0.25">
      <c r="A149" s="1">
        <v>147000</v>
      </c>
      <c r="B149" s="2">
        <v>62</v>
      </c>
      <c r="C149" s="2">
        <f>Table1456[[#This Row],[Elev_CEM1]]-B154</f>
        <v>5</v>
      </c>
      <c r="D149" s="8">
        <f>Table1456[[#This Row],[distance]]/$A$179</f>
        <v>0.83050847457627119</v>
      </c>
      <c r="E149" s="8">
        <f t="shared" si="6"/>
        <v>17.739661016949153</v>
      </c>
      <c r="F149" s="8">
        <f t="shared" si="7"/>
        <v>147.92216338983053</v>
      </c>
      <c r="G149" s="8">
        <f t="shared" si="8"/>
        <v>1.4792216338983054E-2</v>
      </c>
    </row>
    <row r="150" spans="1:7" x14ac:dyDescent="0.25">
      <c r="A150" s="1">
        <v>148000</v>
      </c>
      <c r="B150" s="2">
        <v>65</v>
      </c>
      <c r="C150" s="2">
        <f>Table1456[[#This Row],[Elev_CEM1]]-B155</f>
        <v>12</v>
      </c>
      <c r="D150" s="8">
        <f>Table1456[[#This Row],[distance]]/$A$179</f>
        <v>0.83615819209039544</v>
      </c>
      <c r="E150" s="8">
        <f t="shared" si="6"/>
        <v>17.860338983050845</v>
      </c>
      <c r="F150" s="8">
        <f t="shared" si="7"/>
        <v>446.78530983050842</v>
      </c>
      <c r="G150" s="8">
        <f t="shared" si="8"/>
        <v>4.4678530983050843E-2</v>
      </c>
    </row>
    <row r="151" spans="1:7" x14ac:dyDescent="0.25">
      <c r="A151" s="1">
        <v>149000</v>
      </c>
      <c r="B151" s="2">
        <v>65</v>
      </c>
      <c r="C151" s="2">
        <f>Table1456[[#This Row],[Elev_CEM1]]-B156</f>
        <v>16</v>
      </c>
      <c r="D151" s="8">
        <f>Table1456[[#This Row],[distance]]/$A$179</f>
        <v>0.84180790960451979</v>
      </c>
      <c r="E151" s="8">
        <f t="shared" si="6"/>
        <v>17.981016949152544</v>
      </c>
      <c r="F151" s="8">
        <f t="shared" si="7"/>
        <v>-1649.2818081355936</v>
      </c>
      <c r="G151" s="8">
        <f t="shared" si="8"/>
        <v>-0.16492818081355937</v>
      </c>
    </row>
    <row r="152" spans="1:7" x14ac:dyDescent="0.25">
      <c r="A152" s="1">
        <v>150000</v>
      </c>
      <c r="B152" s="2">
        <v>63</v>
      </c>
      <c r="C152" s="2">
        <f>Table1456[[#This Row],[Elev_CEM1]]-B157</f>
        <v>9</v>
      </c>
      <c r="D152" s="8">
        <f>Table1456[[#This Row],[distance]]/$A$179</f>
        <v>0.84745762711864403</v>
      </c>
      <c r="E152" s="8">
        <f t="shared" si="6"/>
        <v>18.101694915254235</v>
      </c>
      <c r="F152" s="8">
        <f t="shared" si="7"/>
        <v>301.8819661016949</v>
      </c>
      <c r="G152" s="8">
        <f t="shared" si="8"/>
        <v>3.0188196610169488E-2</v>
      </c>
    </row>
    <row r="153" spans="1:7" x14ac:dyDescent="0.25">
      <c r="A153" s="1">
        <v>151000</v>
      </c>
      <c r="B153" s="2">
        <v>54</v>
      </c>
      <c r="C153" s="2">
        <f>Table1456[[#This Row],[Elev_CEM1]]-B158</f>
        <v>-1</v>
      </c>
      <c r="D153" s="8">
        <f>Table1456[[#This Row],[distance]]/$A$179</f>
        <v>0.85310734463276838</v>
      </c>
      <c r="E153" s="8">
        <f t="shared" si="6"/>
        <v>18.22237288135593</v>
      </c>
      <c r="F153" s="8">
        <f t="shared" si="7"/>
        <v>1215.5780501694915</v>
      </c>
      <c r="G153" s="8">
        <f t="shared" si="8"/>
        <v>0.12155780501694914</v>
      </c>
    </row>
    <row r="154" spans="1:7" x14ac:dyDescent="0.25">
      <c r="A154" s="1">
        <v>152000</v>
      </c>
      <c r="B154" s="2">
        <v>57</v>
      </c>
      <c r="C154" s="2">
        <f>Table1456[[#This Row],[Elev_CEM1]]-B159</f>
        <v>7</v>
      </c>
      <c r="D154" s="8">
        <f>Table1456[[#This Row],[distance]]/$A$179</f>
        <v>0.85875706214689262</v>
      </c>
      <c r="E154" s="8">
        <f t="shared" si="6"/>
        <v>18.343050847457626</v>
      </c>
      <c r="F154" s="8">
        <f t="shared" si="7"/>
        <v>764.76764745762728</v>
      </c>
      <c r="G154" s="8">
        <f t="shared" si="8"/>
        <v>7.6476764745762732E-2</v>
      </c>
    </row>
    <row r="155" spans="1:7" x14ac:dyDescent="0.25">
      <c r="A155" s="1">
        <v>153000</v>
      </c>
      <c r="B155" s="2">
        <v>53</v>
      </c>
      <c r="C155" s="2">
        <f>Table1456[[#This Row],[Elev_CEM1]]-B160</f>
        <v>2</v>
      </c>
      <c r="D155" s="8">
        <f>Table1456[[#This Row],[distance]]/$A$179</f>
        <v>0.86440677966101698</v>
      </c>
      <c r="E155" s="8">
        <f t="shared" si="6"/>
        <v>18.463728813559321</v>
      </c>
      <c r="F155" s="8">
        <f t="shared" si="7"/>
        <v>1847.5176325423727</v>
      </c>
      <c r="G155" s="8">
        <f t="shared" si="8"/>
        <v>0.18475176325423726</v>
      </c>
    </row>
    <row r="156" spans="1:7" x14ac:dyDescent="0.25">
      <c r="A156" s="1">
        <v>154000</v>
      </c>
      <c r="B156" s="2">
        <v>49</v>
      </c>
      <c r="C156" s="2">
        <f>Table1456[[#This Row],[Elev_CEM1]]-B161</f>
        <v>-6</v>
      </c>
      <c r="D156" s="8">
        <f>Table1456[[#This Row],[distance]]/$A$179</f>
        <v>0.87005649717514122</v>
      </c>
      <c r="E156" s="8">
        <f t="shared" si="6"/>
        <v>18.584406779661016</v>
      </c>
      <c r="F156" s="8">
        <f t="shared" si="7"/>
        <v>2479.4572149152546</v>
      </c>
      <c r="G156" s="8">
        <f t="shared" si="8"/>
        <v>0.24794572149152547</v>
      </c>
    </row>
    <row r="157" spans="1:7" x14ac:dyDescent="0.25">
      <c r="A157" s="1">
        <v>155000</v>
      </c>
      <c r="B157" s="2">
        <v>54</v>
      </c>
      <c r="C157" s="2">
        <f>Table1456[[#This Row],[Elev_CEM1]]-B162</f>
        <v>-7</v>
      </c>
      <c r="D157" s="8">
        <f>Table1456[[#This Row],[distance]]/$A$179</f>
        <v>0.87570621468926557</v>
      </c>
      <c r="E157" s="8">
        <f t="shared" si="6"/>
        <v>18.705084745762711</v>
      </c>
      <c r="F157" s="8">
        <f t="shared" si="7"/>
        <v>1403.7511423728811</v>
      </c>
      <c r="G157" s="8">
        <f t="shared" si="8"/>
        <v>0.1403751142372881</v>
      </c>
    </row>
    <row r="158" spans="1:7" x14ac:dyDescent="0.25">
      <c r="A158" s="1">
        <v>156000</v>
      </c>
      <c r="B158" s="2">
        <v>55</v>
      </c>
      <c r="C158" s="2">
        <f>Table1456[[#This Row],[Elev_CEM1]]-B163</f>
        <v>-7</v>
      </c>
      <c r="D158" s="8">
        <f>Table1456[[#This Row],[distance]]/$A$179</f>
        <v>0.88135593220338981</v>
      </c>
      <c r="E158" s="8">
        <f t="shared" si="6"/>
        <v>18.825762711864407</v>
      </c>
      <c r="F158" s="8">
        <f t="shared" si="7"/>
        <v>-156.97862237288135</v>
      </c>
      <c r="G158" s="8">
        <f t="shared" si="8"/>
        <v>-1.5697862237288134E-2</v>
      </c>
    </row>
    <row r="159" spans="1:7" x14ac:dyDescent="0.25">
      <c r="A159" s="1">
        <v>157000</v>
      </c>
      <c r="B159" s="2">
        <v>50</v>
      </c>
      <c r="C159" s="2">
        <f>Table1456[[#This Row],[Elev_CEM1]]-B164</f>
        <v>-4</v>
      </c>
      <c r="D159" s="8">
        <f>Table1456[[#This Row],[distance]]/$A$179</f>
        <v>0.88700564971751417</v>
      </c>
      <c r="E159" s="8">
        <f t="shared" si="6"/>
        <v>18.946440677966102</v>
      </c>
      <c r="F159" s="8">
        <f t="shared" si="7"/>
        <v>1105.8942691525424</v>
      </c>
      <c r="G159" s="8">
        <f t="shared" si="8"/>
        <v>0.11058942691525424</v>
      </c>
    </row>
    <row r="160" spans="1:7" x14ac:dyDescent="0.25">
      <c r="A160" s="1">
        <v>158000</v>
      </c>
      <c r="B160" s="2">
        <v>51</v>
      </c>
      <c r="C160" s="2">
        <f>Table1456[[#This Row],[Elev_CEM1]]-B165</f>
        <v>-3</v>
      </c>
      <c r="D160" s="8">
        <f>Table1456[[#This Row],[distance]]/$A$179</f>
        <v>0.89265536723163841</v>
      </c>
      <c r="E160" s="8">
        <f t="shared" si="6"/>
        <v>19.067118644067797</v>
      </c>
      <c r="F160" s="8">
        <f t="shared" si="7"/>
        <v>317.98233762711862</v>
      </c>
      <c r="G160" s="8">
        <f t="shared" si="8"/>
        <v>3.1798233762711861E-2</v>
      </c>
    </row>
    <row r="161" spans="1:7" x14ac:dyDescent="0.25">
      <c r="A161" s="1">
        <v>159000</v>
      </c>
      <c r="B161" s="2">
        <v>55</v>
      </c>
      <c r="C161" s="2">
        <f>Table1456[[#This Row],[Elev_CEM1]]-B166</f>
        <v>-1</v>
      </c>
      <c r="D161" s="8">
        <f>Table1456[[#This Row],[distance]]/$A$179</f>
        <v>0.89830508474576276</v>
      </c>
      <c r="E161" s="8">
        <f t="shared" si="6"/>
        <v>19.187796610169492</v>
      </c>
      <c r="F161" s="8">
        <f t="shared" si="7"/>
        <v>-959.98465220338983</v>
      </c>
      <c r="G161" s="8">
        <f t="shared" si="8"/>
        <v>-9.5998465220338988E-2</v>
      </c>
    </row>
    <row r="162" spans="1:7" x14ac:dyDescent="0.25">
      <c r="A162" s="1">
        <v>160000</v>
      </c>
      <c r="B162" s="2">
        <v>61</v>
      </c>
      <c r="C162" s="2">
        <f>Table1456[[#This Row],[Elev_CEM1]]-B167</f>
        <v>9</v>
      </c>
      <c r="D162" s="8">
        <f>Table1456[[#This Row],[distance]]/$A$179</f>
        <v>0.903954802259887</v>
      </c>
      <c r="E162" s="8">
        <f t="shared" si="6"/>
        <v>19.308474576271188</v>
      </c>
      <c r="F162" s="8">
        <f t="shared" si="7"/>
        <v>-1127.026006779661</v>
      </c>
      <c r="G162" s="8">
        <f t="shared" si="8"/>
        <v>-0.1127026006779661</v>
      </c>
    </row>
    <row r="163" spans="1:7" x14ac:dyDescent="0.25">
      <c r="A163" s="1">
        <v>161000</v>
      </c>
      <c r="B163" s="2">
        <v>62</v>
      </c>
      <c r="C163" s="2">
        <f>Table1456[[#This Row],[Elev_CEM1]]-B168</f>
        <v>13</v>
      </c>
      <c r="D163" s="8">
        <f>Table1456[[#This Row],[distance]]/$A$179</f>
        <v>0.90960451977401124</v>
      </c>
      <c r="E163" s="8">
        <f t="shared" si="6"/>
        <v>19.429152542372879</v>
      </c>
      <c r="F163" s="8">
        <f t="shared" si="7"/>
        <v>-1134.0699193220337</v>
      </c>
      <c r="G163" s="8">
        <f t="shared" si="8"/>
        <v>-0.11340699193220337</v>
      </c>
    </row>
    <row r="164" spans="1:7" x14ac:dyDescent="0.25">
      <c r="A164" s="1">
        <v>162000</v>
      </c>
      <c r="B164" s="2">
        <v>54</v>
      </c>
      <c r="C164" s="2">
        <f>Table1456[[#This Row],[Elev_CEM1]]-B169</f>
        <v>8</v>
      </c>
      <c r="D164" s="8">
        <f>Table1456[[#This Row],[distance]]/$A$179</f>
        <v>0.9152542372881356</v>
      </c>
      <c r="E164" s="8">
        <f t="shared" si="6"/>
        <v>19.549830508474574</v>
      </c>
      <c r="F164" s="8">
        <f t="shared" si="7"/>
        <v>-652.06504677966097</v>
      </c>
      <c r="G164" s="8">
        <f t="shared" si="8"/>
        <v>-6.5206504677966098E-2</v>
      </c>
    </row>
    <row r="165" spans="1:7" x14ac:dyDescent="0.25">
      <c r="A165" s="1">
        <v>163000</v>
      </c>
      <c r="B165" s="2">
        <v>54</v>
      </c>
      <c r="C165" s="2">
        <f>Table1456[[#This Row],[Elev_CEM1]]-B170</f>
        <v>6</v>
      </c>
      <c r="D165" s="8">
        <f>Table1456[[#This Row],[distance]]/$A$179</f>
        <v>0.92090395480225984</v>
      </c>
      <c r="E165" s="8">
        <f t="shared" si="6"/>
        <v>19.67050847457627</v>
      </c>
      <c r="F165" s="8">
        <f t="shared" si="7"/>
        <v>-492.06760474576265</v>
      </c>
      <c r="G165" s="8">
        <f t="shared" si="8"/>
        <v>-4.9206760474576262E-2</v>
      </c>
    </row>
    <row r="166" spans="1:7" x14ac:dyDescent="0.25">
      <c r="A166" s="1">
        <v>164000</v>
      </c>
      <c r="B166" s="2">
        <v>56</v>
      </c>
      <c r="C166" s="2">
        <f>Table1456[[#This Row],[Elev_CEM1]]-B171</f>
        <v>-1</v>
      </c>
      <c r="D166" s="8">
        <f>Table1456[[#This Row],[distance]]/$A$179</f>
        <v>0.92655367231638419</v>
      </c>
      <c r="E166" s="8">
        <f t="shared" si="6"/>
        <v>19.791186440677965</v>
      </c>
      <c r="F166" s="8">
        <f t="shared" si="7"/>
        <v>-165.02880813559318</v>
      </c>
      <c r="G166" s="8">
        <f t="shared" si="8"/>
        <v>-1.6502880813559318E-2</v>
      </c>
    </row>
    <row r="167" spans="1:7" x14ac:dyDescent="0.25">
      <c r="A167" s="1">
        <v>165000</v>
      </c>
      <c r="B167" s="2">
        <v>52</v>
      </c>
      <c r="C167" s="2">
        <f>Table1456[[#This Row],[Elev_CEM1]]-B172</f>
        <v>3</v>
      </c>
      <c r="D167" s="8">
        <f>Table1456[[#This Row],[distance]]/$A$179</f>
        <v>0.93220338983050843</v>
      </c>
      <c r="E167" s="8">
        <f t="shared" si="6"/>
        <v>19.91186440677966</v>
      </c>
      <c r="F167" s="8">
        <f t="shared" si="7"/>
        <v>1494.3157322033896</v>
      </c>
      <c r="G167" s="8">
        <f t="shared" si="8"/>
        <v>0.14943157322033895</v>
      </c>
    </row>
    <row r="168" spans="1:7" x14ac:dyDescent="0.25">
      <c r="A168" s="1">
        <v>166000</v>
      </c>
      <c r="B168" s="2">
        <v>49</v>
      </c>
      <c r="C168" s="2">
        <f>Table1456[[#This Row],[Elev_CEM1]]-B173</f>
        <v>-3</v>
      </c>
      <c r="D168" s="8">
        <f>Table1456[[#This Row],[distance]]/$A$179</f>
        <v>0.93785310734463279</v>
      </c>
      <c r="E168" s="8">
        <f t="shared" si="6"/>
        <v>20.032542372881355</v>
      </c>
      <c r="F168" s="8">
        <f t="shared" si="7"/>
        <v>2171.537609491525</v>
      </c>
      <c r="G168" s="8">
        <f t="shared" si="8"/>
        <v>0.21715376094915251</v>
      </c>
    </row>
    <row r="169" spans="1:7" x14ac:dyDescent="0.25">
      <c r="A169" s="1">
        <v>167000</v>
      </c>
      <c r="B169" s="2">
        <v>46</v>
      </c>
      <c r="C169" s="2">
        <f>Table1456[[#This Row],[Elev_CEM1]]-B174</f>
        <v>-6</v>
      </c>
      <c r="D169" s="8">
        <f>Table1456[[#This Row],[distance]]/$A$179</f>
        <v>0.94350282485875703</v>
      </c>
      <c r="E169" s="8">
        <f t="shared" si="6"/>
        <v>20.153220338983051</v>
      </c>
      <c r="F169" s="8">
        <f t="shared" si="7"/>
        <v>1344.3810223728813</v>
      </c>
      <c r="G169" s="8">
        <f t="shared" si="8"/>
        <v>0.13443810223728814</v>
      </c>
    </row>
    <row r="170" spans="1:7" x14ac:dyDescent="0.25">
      <c r="A170" s="1">
        <v>168000</v>
      </c>
      <c r="B170" s="2">
        <v>48</v>
      </c>
      <c r="C170" s="2">
        <f>Table1456[[#This Row],[Elev_CEM1]]-B175</f>
        <v>-6</v>
      </c>
      <c r="D170" s="8">
        <f>Table1456[[#This Row],[distance]]/$A$179</f>
        <v>0.94915254237288138</v>
      </c>
      <c r="E170" s="8">
        <f t="shared" si="6"/>
        <v>20.273898305084746</v>
      </c>
      <c r="F170" s="8">
        <f t="shared" si="7"/>
        <v>1014.3234061016949</v>
      </c>
      <c r="G170" s="8">
        <f t="shared" si="8"/>
        <v>0.10143234061016949</v>
      </c>
    </row>
    <row r="171" spans="1:7" x14ac:dyDescent="0.25">
      <c r="A171" s="1">
        <v>169000</v>
      </c>
      <c r="B171" s="2">
        <v>57</v>
      </c>
      <c r="C171" s="2">
        <f>Table1456[[#This Row],[Elev_CEM1]]-B176</f>
        <v>5</v>
      </c>
      <c r="D171" s="8">
        <f>Table1456[[#This Row],[distance]]/$A$179</f>
        <v>0.95480225988700562</v>
      </c>
      <c r="E171" s="8">
        <f t="shared" si="6"/>
        <v>20.394576271186441</v>
      </c>
      <c r="F171" s="8">
        <f t="shared" si="7"/>
        <v>-170.06017423728812</v>
      </c>
      <c r="G171" s="8">
        <f t="shared" si="8"/>
        <v>-1.7006017423728811E-2</v>
      </c>
    </row>
    <row r="172" spans="1:7" x14ac:dyDescent="0.25">
      <c r="A172" s="1">
        <v>170000</v>
      </c>
      <c r="B172" s="2">
        <v>49</v>
      </c>
      <c r="C172" s="2">
        <f>Table1456[[#This Row],[Elev_CEM1]]-B177</f>
        <v>0</v>
      </c>
      <c r="D172" s="8">
        <f>Table1456[[#This Row],[distance]]/$A$179</f>
        <v>0.96045197740112997</v>
      </c>
      <c r="E172" s="8">
        <f t="shared" si="6"/>
        <v>20.515254237288136</v>
      </c>
      <c r="F172" s="8">
        <f t="shared" si="7"/>
        <v>513.19934237288135</v>
      </c>
      <c r="G172" s="8">
        <f t="shared" si="8"/>
        <v>5.1319934237288138E-2</v>
      </c>
    </row>
    <row r="173" spans="1:7" x14ac:dyDescent="0.25">
      <c r="A173" s="1">
        <v>171000</v>
      </c>
      <c r="B173" s="2">
        <v>52</v>
      </c>
      <c r="C173" s="2">
        <f>Table1456[[#This Row],[Elev_CEM1]]-B178</f>
        <v>-1</v>
      </c>
      <c r="D173" s="8">
        <f>Table1456[[#This Row],[distance]]/$A$179</f>
        <v>0.96610169491525422</v>
      </c>
      <c r="E173" s="8">
        <f t="shared" si="6"/>
        <v>20.635932203389828</v>
      </c>
      <c r="F173" s="8">
        <f t="shared" si="7"/>
        <v>-516.21816203389824</v>
      </c>
      <c r="G173" s="8">
        <f t="shared" si="8"/>
        <v>-5.1621816203389827E-2</v>
      </c>
    </row>
    <row r="174" spans="1:7" x14ac:dyDescent="0.25">
      <c r="A174" s="1">
        <v>172000</v>
      </c>
      <c r="B174" s="2">
        <v>52</v>
      </c>
      <c r="C174" s="2">
        <f>Table1456[[#This Row],[Elev_CEM1]]-B179</f>
        <v>-2</v>
      </c>
      <c r="D174" s="8">
        <f>Table1456[[#This Row],[distance]]/$A$179</f>
        <v>0.97175141242937857</v>
      </c>
      <c r="E174" s="8">
        <f t="shared" si="6"/>
        <v>20.756610169491527</v>
      </c>
      <c r="F174" s="8">
        <f t="shared" si="7"/>
        <v>-1038.4739633898305</v>
      </c>
      <c r="G174" s="8">
        <f t="shared" si="8"/>
        <v>-0.10384739633898304</v>
      </c>
    </row>
    <row r="175" spans="1:7" x14ac:dyDescent="0.25">
      <c r="A175" s="1">
        <v>173000</v>
      </c>
      <c r="B175" s="2">
        <v>54</v>
      </c>
      <c r="C175" s="2">
        <f>Table1456[[#This Row],[Elev_CEM1]]-B180</f>
        <v>54</v>
      </c>
      <c r="D175" s="8">
        <f>Table1456[[#This Row],[distance]]/$A$179</f>
        <v>0.97740112994350281</v>
      </c>
      <c r="E175" s="8">
        <f t="shared" si="6"/>
        <v>20.877288135593218</v>
      </c>
      <c r="F175" s="8">
        <f t="shared" si="7"/>
        <v>-1044.5116027118645</v>
      </c>
      <c r="G175" s="8">
        <f t="shared" si="8"/>
        <v>-0.10445116027118645</v>
      </c>
    </row>
    <row r="176" spans="1:7" x14ac:dyDescent="0.25">
      <c r="A176" s="1">
        <v>174000</v>
      </c>
      <c r="B176" s="2">
        <v>52</v>
      </c>
      <c r="C176" s="2">
        <f>Table1456[[#This Row],[Elev_CEM1]]-B181</f>
        <v>52</v>
      </c>
      <c r="D176" s="8">
        <f>Table1456[[#This Row],[distance]]/$A$179</f>
        <v>0.98305084745762716</v>
      </c>
      <c r="E176" s="8">
        <f t="shared" si="6"/>
        <v>20.997966101694917</v>
      </c>
      <c r="F176" s="8">
        <f t="shared" si="7"/>
        <v>875.45770169491539</v>
      </c>
      <c r="G176" s="8">
        <f t="shared" si="8"/>
        <v>8.7545770169491541E-2</v>
      </c>
    </row>
    <row r="177" spans="1:7" x14ac:dyDescent="0.25">
      <c r="A177" s="1">
        <v>175000</v>
      </c>
      <c r="B177" s="2">
        <v>49</v>
      </c>
      <c r="C177" s="2">
        <f>Table1456[[#This Row],[Elev_CEM1]]-B182</f>
        <v>49</v>
      </c>
      <c r="D177" s="8">
        <f>Table1456[[#This Row],[distance]]/$A$179</f>
        <v>0.98870056497175141</v>
      </c>
      <c r="E177" s="8">
        <f t="shared" si="6"/>
        <v>21.118644067796609</v>
      </c>
      <c r="F177" s="8">
        <f t="shared" si="7"/>
        <v>0</v>
      </c>
      <c r="G177" s="8">
        <f t="shared" si="8"/>
        <v>0</v>
      </c>
    </row>
    <row r="178" spans="1:7" x14ac:dyDescent="0.25">
      <c r="A178" s="1">
        <v>176000</v>
      </c>
      <c r="B178" s="2">
        <v>53</v>
      </c>
      <c r="C178" s="2">
        <f>Table1456[[#This Row],[Elev_CEM1]]-B183</f>
        <v>53</v>
      </c>
      <c r="D178" s="8">
        <f>Table1456[[#This Row],[distance]]/$A$179</f>
        <v>0.99435028248587576</v>
      </c>
      <c r="E178" s="8">
        <f t="shared" si="6"/>
        <v>21.239322033898304</v>
      </c>
      <c r="F178" s="8">
        <f t="shared" si="7"/>
        <v>-177.104086779661</v>
      </c>
      <c r="G178" s="8">
        <f t="shared" si="8"/>
        <v>-1.77104086779661E-2</v>
      </c>
    </row>
    <row r="179" spans="1:7" x14ac:dyDescent="0.25">
      <c r="A179" s="1">
        <v>177000</v>
      </c>
      <c r="B179" s="2">
        <v>54</v>
      </c>
      <c r="C179" s="2">
        <f>Table1456[[#This Row],[Elev_CEM1]]-B184</f>
        <v>54</v>
      </c>
      <c r="D179" s="8">
        <f>Table1456[[#This Row],[distance]]/$A$179</f>
        <v>1</v>
      </c>
      <c r="E179" s="8">
        <f t="shared" si="6"/>
        <v>21.36</v>
      </c>
      <c r="F179" s="8">
        <f t="shared" si="7"/>
        <v>-356.22072000000003</v>
      </c>
      <c r="G179" s="8">
        <f t="shared" si="8"/>
        <v>-3.5622072000000005E-2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PerfilPuntos_1000mCEM</vt:lpstr>
      <vt:lpstr>PerfilPuntos_1000mCEM (2)</vt:lpstr>
      <vt:lpstr>Hoja2</vt:lpstr>
      <vt:lpstr>Hoja1</vt:lpstr>
      <vt:lpstr>Hoja2 (2)</vt:lpstr>
      <vt:lpstr>Hoja2 (3)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ALEJANDRO CERDA BARROSO</cp:lastModifiedBy>
  <cp:revision>1</cp:revision>
  <dcterms:created xsi:type="dcterms:W3CDTF">2026-05-14T16:24:46Z</dcterms:created>
  <dcterms:modified xsi:type="dcterms:W3CDTF">2026-05-26T16:59:07Z</dcterms:modified>
</cp:coreProperties>
</file>